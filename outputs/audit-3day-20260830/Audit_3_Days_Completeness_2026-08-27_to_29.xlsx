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3f1bc8ae2942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ภาพรวม 3 วัน" sheetId="1" r:id="R01eb66b8aad04873"/>
    <x:sheet xmlns:r="http://schemas.openxmlformats.org/officeDocument/2006/relationships" name="รายบริษัท" sheetId="2" r:id="R696c81d5d05f42bf"/>
    <x:sheet xmlns:r="http://schemas.openxmlformats.org/officeDocument/2006/relationships" name="ไฟล์ต้องดำเนินการ" sheetId="3" r:id="R53593d95e6d645b5"/>
    <x:sheet xmlns:r="http://schemas.openxmlformats.org/officeDocument/2006/relationships" name="แหล่งข้อมูล" sheetId="4" r:id="R67094de8148c4e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0.0%"/>
  </x:numFmts>
  <x:fonts count="11">
    <x:font>
      <x:sz val="11"/>
      <x:name val="Carlito"/>
    </x:font>
    <x:font>
      <x:b/>
      <x:sz val="20"/>
      <x:color rgb="FFFFFFFF"/>
      <x:name val="Kanit"/>
    </x:font>
    <x:font>
      <x:sz val="10"/>
      <x:color rgb="FF64748B"/>
      <x:name val="Kanit"/>
    </x:font>
    <x:font>
      <x:b/>
      <x:sz val="11"/>
      <x:color rgb="FFFFFFFF"/>
      <x:name val="Kanit"/>
    </x:font>
    <x:font>
      <x:sz val="10"/>
      <x:name val="Kanit"/>
    </x:font>
    <x:font>
      <x:b/>
      <x:sz val="10"/>
      <x:color rgb="FF0B4F8A"/>
      <x:name val="Kanit"/>
    </x:font>
    <x:font>
      <x:b/>
      <x:sz val="10"/>
      <x:color rgb="FF138A4A"/>
      <x:name val="Kanit"/>
    </x:font>
    <x:font>
      <x:b/>
      <x:sz val="10"/>
      <x:color rgb="FFB42318"/>
      <x:name val="Kanit"/>
    </x:font>
    <x:font>
      <x:b/>
      <x:sz val="10"/>
      <x:color rgb="FFA86400"/>
      <x:name val="Kanit"/>
    </x:font>
    <x:font>
      <x:sz val="10"/>
      <x:color rgb="FFB42318"/>
      <x:name val="Kanit"/>
    </x:font>
    <x:font>
      <x:b/>
      <x:sz val="10"/>
      <x:color rgb="FFFFFFFF"/>
      <x:name val="Kanit"/>
    </x:font>
  </x:fonts>
  <x:fills count="8">
    <x:fill>
      <x:patternFill patternType="none"/>
    </x:fill>
    <x:fill>
      <x:patternFill patternType="gray125"/>
    </x:fill>
    <x:fill>
      <x:patternFill patternType="solid">
        <x:fgColor rgb="FF0B4F8A"/>
      </x:patternFill>
    </x:fill>
    <x:fill>
      <x:patternFill patternType="solid">
        <x:fgColor rgb="FF0B70D8"/>
      </x:patternFill>
    </x:fill>
    <x:fill>
      <x:patternFill patternType="solid">
        <x:fgColor rgb="FFEAF4FF"/>
      </x:patternFill>
    </x:fill>
    <x:fill>
      <x:patternFill patternType="solid">
        <x:fgColor rgb="FFE9F8EF"/>
      </x:patternFill>
    </x:fill>
    <x:fill>
      <x:patternFill patternType="solid">
        <x:fgColor rgb="FFFDECEC"/>
      </x:patternFill>
    </x:fill>
    <x:fill>
      <x:patternFill patternType="solid">
        <x:fgColor rgb="FFFFF4D6"/>
      </x:patternFill>
    </x:fill>
  </x:fills>
  <x:borders count="12">
    <x:border/>
    <x:border>
      <x:right style="thin">
        <x:color rgb="FFD7E3F1"/>
      </x:right>
      <x:bottom style="thin">
        <x:color rgb="FFD7E3F1"/>
      </x:bottom>
    </x:border>
    <x:border>
      <x:left style="thin">
        <x:color rgb="FFD7E3F1"/>
      </x:left>
      <x:right style="thin">
        <x:color rgb="FFD7E3F1"/>
      </x:right>
      <x:bottom style="thin">
        <x:color rgb="FFD7E3F1"/>
      </x:bottom>
    </x:border>
    <x:border>
      <x:left style="thin">
        <x:color rgb="FFD7E3F1"/>
      </x:left>
      <x:bottom style="thin">
        <x:color rgb="FFD7E3F1"/>
      </x:bottom>
    </x:border>
    <x:border>
      <x:right style="thin">
        <x:color rgb="FFD7E3F1"/>
      </x:right>
      <x:top style="thin">
        <x:color rgb="FFD7E3F1"/>
      </x:top>
      <x:bottom style="thin">
        <x:color rgb="FFD7E3F1"/>
      </x:bottom>
    </x:border>
    <x:border>
      <x:left style="thin">
        <x:color rgb="FFD7E3F1"/>
      </x:left>
      <x:right style="thin">
        <x:color rgb="FFD7E3F1"/>
      </x:right>
      <x:top style="thin">
        <x:color rgb="FFD7E3F1"/>
      </x:top>
      <x:bottom style="thin">
        <x:color rgb="FFD7E3F1"/>
      </x:bottom>
    </x:border>
    <x:border>
      <x:left style="thin">
        <x:color rgb="FFD7E3F1"/>
      </x:left>
      <x:top style="thin">
        <x:color rgb="FFD7E3F1"/>
      </x:top>
      <x:bottom style="thin">
        <x:color rgb="FFD7E3F1"/>
      </x:bottom>
    </x:border>
    <x:border>
      <x:right style="thin">
        <x:color rgb="FFD7E3F1"/>
      </x:right>
      <x:top style="thin">
        <x:color rgb="FFD7E3F1"/>
      </x:top>
    </x:border>
    <x:border>
      <x:left style="thin">
        <x:color rgb="FFD7E3F1"/>
      </x:left>
      <x:right style="thin">
        <x:color rgb="FFD7E3F1"/>
      </x:right>
      <x:top style="thin">
        <x:color rgb="FFD7E3F1"/>
      </x:top>
    </x:border>
    <x:border>
      <x:left style="thin">
        <x:color rgb="FFD7E3F1"/>
      </x:left>
      <x:top style="thin">
        <x:color rgb="FFD7E3F1"/>
      </x:top>
    </x:border>
    <x:border>
      <x:right style="thin">
        <x:color rgb="FFD7E3F1"/>
      </x:right>
      <x:top style="thin">
        <x:color rgb="FFD7E3F1"/>
      </x:top>
      <x:bottom style="double">
        <x:color rgb="FF0B4F8A"/>
      </x:bottom>
    </x:border>
    <x:border>
      <x:left style="thin">
        <x:color rgb="FFD7E3F1"/>
      </x:left>
      <x:right style="thin">
        <x:color rgb="FFD7E3F1"/>
      </x:right>
      <x:top style="thin">
        <x:color rgb="FFD7E3F1"/>
      </x:top>
      <x:bottom style="double">
        <x:color rgb="FF0B4F8A"/>
      </x:bottom>
    </x:border>
  </x:borders>
  <x:cellStyleXfs count="1">
    <x:xf numFmtId="0" fontId="0" fillId="0" borderId="0"/>
  </x:cellStyleXfs>
  <x:cellXfs count="9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/>
    </x:xf>
    <x:xf numFmtId="0" fontId="4" fillId="0" borderId="8" xfId="0" applyNumberFormat="1" applyFont="1" applyFill="1" applyBorder="1" applyAlignment="1">
      <x:alignment vertical="center"/>
    </x:xf>
    <x:xf numFmtId="0" fontId="4" fillId="0" borderId="9" xfId="0" applyNumberFormat="1" applyFont="1" applyFill="1" applyBorder="1" applyAlignment="1">
      <x:alignment vertical="center"/>
    </x:xf>
    <x:xf numFmtId="0" fontId="4" fillId="4" borderId="7" xfId="0" applyNumberFormat="1" applyFont="1" applyFill="1" applyBorder="1" applyAlignment="1">
      <x:alignment vertical="center"/>
    </x:xf>
    <x:xf numFmtId="0" fontId="4" fillId="4" borderId="8" xfId="0" applyNumberFormat="1" applyFont="1" applyFill="1" applyBorder="1" applyAlignment="1">
      <x:alignment vertical="center"/>
    </x:xf>
    <x:xf numFmtId="0" fontId="4" fillId="4" borderId="9" xfId="0" applyNumberFormat="1" applyFont="1" applyFill="1" applyBorder="1" applyAlignment="1">
      <x:alignment vertical="center"/>
    </x:xf>
    <x:xf numFmtId="0" fontId="5" fillId="4" borderId="7" xfId="0" applyNumberFormat="1" applyFont="1" applyFill="1" applyBorder="1" applyAlignment="1">
      <x:alignment vertical="center"/>
    </x:xf>
    <x:xf numFmtId="0" fontId="5" fillId="4" borderId="8" xfId="0" applyNumberFormat="1" applyFont="1" applyFill="1" applyBorder="1" applyAlignment="1">
      <x:alignment vertical="center"/>
    </x:xf>
    <x:xf numFmtId="0" fontId="5" fillId="4" borderId="9" xfId="0" applyNumberFormat="1" applyFont="1" applyFill="1" applyBorder="1" applyAlignment="1">
      <x:alignment vertical="center"/>
    </x:xf>
    <x:xf numFmtId="0" fontId="5" fillId="4" borderId="10" xfId="0" applyNumberFormat="1" applyFont="1" applyFill="1" applyBorder="1" applyAlignment="1">
      <x:alignment vertical="center"/>
    </x:xf>
    <x:xf numFmtId="0" fontId="5" fillId="4" borderId="11" xfId="0" applyNumberFormat="1" applyFont="1" applyFill="1" applyBorder="1" applyAlignment="1">
      <x:alignment vertical="center"/>
    </x:xf>
    <x:xf numFmtId="200" fontId="4" fillId="0" borderId="1" xfId="0" applyNumberFormat="1" applyFont="1" applyFill="1" applyBorder="1" applyAlignment="1">
      <x:alignment vertical="center"/>
    </x:xf>
    <x:xf numFmtId="200" fontId="4" fillId="0" borderId="4" xfId="0" applyNumberFormat="1" applyFont="1" applyFill="1" applyBorder="1" applyAlignment="1">
      <x:alignment vertical="center"/>
    </x:xf>
    <x:xf numFmtId="201" fontId="4" fillId="0" borderId="2" xfId="0" applyNumberFormat="1" applyFont="1" applyFill="1" applyBorder="1" applyAlignment="1">
      <x:alignment vertical="center"/>
    </x:xf>
    <x:xf numFmtId="201" fontId="4" fillId="0" borderId="5" xfId="0" applyNumberFormat="1" applyFont="1" applyFill="1" applyBorder="1" applyAlignment="1">
      <x:alignment vertical="center"/>
    </x:xf>
    <x:xf numFmtId="201" fontId="5" fillId="4" borderId="11" xfId="0" applyNumberFormat="1" applyFont="1" applyFill="1" applyBorder="1" applyAlignment="1">
      <x:alignment vertical="center"/>
    </x:xf>
    <x:xf numFmtId="202" fontId="4" fillId="0" borderId="2" xfId="0" applyNumberFormat="1" applyFont="1" applyFill="1" applyBorder="1" applyAlignment="1">
      <x:alignment vertical="center"/>
    </x:xf>
    <x:xf numFmtId="202" fontId="4" fillId="0" borderId="5" xfId="0" applyNumberFormat="1" applyFont="1" applyFill="1" applyBorder="1" applyAlignment="1">
      <x:alignment vertical="center"/>
    </x:xf>
    <x:xf numFmtId="202" fontId="5" fillId="4" borderId="11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201" fontId="4" fillId="0" borderId="2" xfId="0" applyNumberFormat="1" applyFont="1" applyFill="1" applyBorder="1" applyAlignment="1">
      <x:alignment wrapText="1"/>
    </x:xf>
    <x:xf numFmtId="201" fontId="4" fillId="0" borderId="5" xfId="0" applyNumberFormat="1" applyFont="1" applyFill="1" applyBorder="1" applyAlignment="1">
      <x:alignment wrapText="1"/>
    </x:xf>
    <x:xf numFmtId="201" fontId="4" fillId="0" borderId="8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wrapText="1"/>
    </x:xf>
    <x:xf numFmtId="0" fontId="6" fillId="5" borderId="3" xfId="0" applyNumberFormat="1" applyFont="1" applyFill="1" applyBorder="1" applyAlignment="1">
      <x:alignment wrapText="1"/>
    </x:xf>
    <x:xf numFmtId="0" fontId="6" fillId="5" borderId="6" xfId="0" applyNumberFormat="1" applyFont="1" applyFill="1" applyBorder="1" applyAlignment="1">
      <x:alignment wrapText="1"/>
    </x:xf>
    <x:xf numFmtId="0" fontId="4" fillId="6" borderId="6" xfId="0" applyNumberFormat="1" applyFont="1" applyFill="1" applyBorder="1" applyAlignment="1">
      <x:alignment wrapText="1"/>
    </x:xf>
    <x:xf numFmtId="0" fontId="7" fillId="6" borderId="6" xfId="0" applyNumberFormat="1" applyFont="1" applyFill="1" applyBorder="1" applyAlignment="1">
      <x:alignment wrapText="1"/>
    </x:xf>
    <x:xf numFmtId="0" fontId="4" fillId="7" borderId="9" xfId="0" applyNumberFormat="1" applyFont="1" applyFill="1" applyBorder="1" applyAlignment="1">
      <x:alignment wrapText="1"/>
    </x:xf>
    <x:xf numFmtId="0" fontId="8" fillId="7" borderId="9" xfId="0" applyNumberFormat="1" applyFont="1" applyFill="1" applyBorder="1" applyAlignment="1">
      <x:alignment wrapText="1"/>
    </x:xf>
    <x:xf numFmtId="200" fontId="4" fillId="0" borderId="7" xfId="0" applyNumberFormat="1" applyFont="1" applyFill="1" applyBorder="1" applyAlignment="1">
      <x:alignment vertical="center"/>
    </x:xf>
    <x:xf numFmtId="201" fontId="4" fillId="0" borderId="8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200" fontId="4" fillId="0" borderId="2" xfId="0" applyNumberFormat="1" applyFont="1" applyFill="1" applyBorder="1" applyAlignment="1">
      <x:alignment vertical="top" wrapText="1"/>
    </x:xf>
    <x:xf numFmtId="200" fontId="4" fillId="0" borderId="5" xfId="0" applyNumberFormat="1" applyFont="1" applyFill="1" applyBorder="1" applyAlignment="1">
      <x:alignment vertical="top" wrapText="1"/>
    </x:xf>
    <x:xf numFmtId="200" fontId="4" fillId="0" borderId="8" xfId="0" applyNumberFormat="1" applyFont="1" applyFill="1" applyBorder="1" applyAlignment="1">
      <x:alignment vertical="top" wrapText="1"/>
    </x:xf>
    <x:xf numFmtId="201" fontId="4" fillId="0" borderId="2" xfId="0" applyNumberFormat="1" applyFont="1" applyFill="1" applyBorder="1" applyAlignment="1">
      <x:alignment vertical="top" wrapText="1"/>
    </x:xf>
    <x:xf numFmtId="201" fontId="4" fillId="0" borderId="5" xfId="0" applyNumberFormat="1" applyFont="1" applyFill="1" applyBorder="1" applyAlignment="1">
      <x:alignment vertical="top" wrapText="1"/>
    </x:xf>
    <x:xf numFmtId="201" fontId="4" fillId="0" borderId="8" xfId="0" applyNumberFormat="1" applyFont="1" applyFill="1" applyBorder="1" applyAlignment="1">
      <x:alignment vertical="top" wrapText="1"/>
    </x:xf>
    <x:xf numFmtId="0" fontId="4" fillId="6" borderId="2" xfId="0" applyNumberFormat="1" applyFont="1" applyFill="1" applyBorder="1" applyAlignment="1">
      <x:alignment vertical="top" wrapText="1"/>
    </x:xf>
    <x:xf numFmtId="0" fontId="4" fillId="6" borderId="3" xfId="0" applyNumberFormat="1" applyFont="1" applyFill="1" applyBorder="1" applyAlignment="1">
      <x:alignment vertical="top" wrapText="1"/>
    </x:xf>
    <x:xf numFmtId="0" fontId="4" fillId="6" borderId="5" xfId="0" applyNumberFormat="1" applyFont="1" applyFill="1" applyBorder="1" applyAlignment="1">
      <x:alignment vertical="top" wrapText="1"/>
    </x:xf>
    <x:xf numFmtId="0" fontId="4" fillId="6" borderId="6" xfId="0" applyNumberFormat="1" applyFont="1" applyFill="1" applyBorder="1" applyAlignment="1">
      <x:alignment vertical="top" wrapText="1"/>
    </x:xf>
    <x:xf numFmtId="0" fontId="4" fillId="6" borderId="8" xfId="0" applyNumberFormat="1" applyFont="1" applyFill="1" applyBorder="1" applyAlignment="1">
      <x:alignment vertical="top" wrapText="1"/>
    </x:xf>
    <x:xf numFmtId="0" fontId="4" fillId="6" borderId="9" xfId="0" applyNumberFormat="1" applyFont="1" applyFill="1" applyBorder="1" applyAlignment="1">
      <x:alignment vertical="top" wrapText="1"/>
    </x:xf>
    <x:xf numFmtId="0" fontId="9" fillId="6" borderId="2" xfId="0" applyNumberFormat="1" applyFont="1" applyFill="1" applyBorder="1" applyAlignment="1">
      <x:alignment vertical="top" wrapText="1"/>
    </x:xf>
    <x:xf numFmtId="0" fontId="9" fillId="6" borderId="3" xfId="0" applyNumberFormat="1" applyFont="1" applyFill="1" applyBorder="1" applyAlignment="1">
      <x:alignment vertical="top" wrapText="1"/>
    </x:xf>
    <x:xf numFmtId="0" fontId="9" fillId="6" borderId="5" xfId="0" applyNumberFormat="1" applyFont="1" applyFill="1" applyBorder="1" applyAlignment="1">
      <x:alignment vertical="top" wrapText="1"/>
    </x:xf>
    <x:xf numFmtId="0" fontId="9" fillId="6" borderId="6" xfId="0" applyNumberFormat="1" applyFont="1" applyFill="1" applyBorder="1" applyAlignment="1">
      <x:alignment vertical="top" wrapText="1"/>
    </x:xf>
    <x:xf numFmtId="0" fontId="9" fillId="6" borderId="8" xfId="0" applyNumberFormat="1" applyFont="1" applyFill="1" applyBorder="1" applyAlignment="1">
      <x:alignment vertical="top" wrapText="1"/>
    </x:xf>
    <x:xf numFmtId="0" fontId="9" fillId="6" borderId="9" xfId="0" applyNumberFormat="1" applyFont="1" applyFill="1" applyBorder="1" applyAlignment="1">
      <x:alignment vertical="top" wrapText="1"/>
    </x:xf>
    <x:xf numFmtId="0" fontId="10" fillId="2" borderId="0" xfId="0" applyNumberFormat="1" applyFont="1" applyFill="1" applyBorder="1" applyAlignment="1">
      <x:alignment horizontal="left" vertical="center"/>
    </x:xf>
    <x:xf numFmtId="0" fontId="10" fillId="3" borderId="0" xfId="0" applyNumberFormat="1" applyFont="1" applyFill="1" applyBorder="1" applyAlignment="1">
      <x:alignment horizontal="center" wrapText="1"/>
    </x:xf>
    <x:xf numFmtId="0" fontId="10" fillId="2" borderId="0" xfId="0" applyNumberFormat="1" applyFont="1" applyFill="1" applyBorder="1"/>
  </x:cellXfs>
  <x:cellStyles count="1">
    <x:cellStyle name="Normal" xfId="0"/>
  </x:cellStyles>
  <x:dxfs count="3">
    <x:dxf>
      <x:font>
        <x:b/>
        <x:color rgb="FFB42318"/>
      </x:font>
      <x:fill>
        <x:patternFill patternType="solid">
          <x:bgColor rgb="FFFDECEC"/>
        </x:patternFill>
      </x:fill>
    </x:dxf>
    <x:dxf>
      <x:font>
        <x:b/>
        <x:color rgb="FFB42318"/>
      </x:font>
      <x:fill>
        <x:patternFill patternType="solid">
          <x:bgColor rgb="FFFDECEC"/>
        </x:patternFill>
      </x:fill>
    </x:dxf>
    <x:dxf>
      <x:font>
        <x:b/>
        <x:color rgb="FF138A4A"/>
      </x:font>
      <x:fill>
        <x:patternFill patternType="solid">
          <x:bgColor rgb="FFE9F8E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c471f8e884424e" /><Relationship Type="http://schemas.openxmlformats.org/officeDocument/2006/relationships/theme" Target="/xl/theme/theme1.xml" Id="Rd73e9642c8f844e1" /><Relationship Type="http://schemas.openxmlformats.org/officeDocument/2006/relationships/sharedStrings" Target="/xl/sharedStrings.xml" Id="R85d58abdf37a4dd0" /><Relationship Type="http://schemas.openxmlformats.org/officeDocument/2006/relationships/worksheet" Target="/xl/worksheets/sheet1.xml" Id="R01eb66b8aad04873" /><Relationship Type="http://schemas.openxmlformats.org/officeDocument/2006/relationships/worksheet" Target="/xl/worksheets/sheet2.xml" Id="R696c81d5d05f42bf" /><Relationship Type="http://schemas.openxmlformats.org/officeDocument/2006/relationships/worksheet" Target="/xl/worksheets/sheet3.xml" Id="R53593d95e6d645b5" /><Relationship Type="http://schemas.openxmlformats.org/officeDocument/2006/relationships/worksheet" Target="/xl/worksheets/sheet4.xml" Id="R67094de8148c4e0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5" hidden="0" customWidth="1"/>
    <x:col min="3" max="3" width="16" hidden="0" customWidth="1"/>
    <x:col min="4" max="4" width="16" hidden="0" customWidth="1"/>
    <x:col min="5" max="5" width="16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4" hidden="0" customWidth="1"/>
  </x:cols>
  <x:sheetData>
    <x:row r="1">
      <x:c r="A1" s="96" t="str">
        <x:v>สรุปความครบถ้วนไฟล์ Audit · 3 วัน</x:v>
      </x:c>
      <x:c r="B1" s="96"/>
      <x:c r="C1" s="96"/>
      <x:c r="D1" s="96"/>
      <x:c r="E1" s="96"/>
      <x:c r="F1" s="96"/>
      <x:c r="G1" s="96"/>
      <x:c r="H1" s="96"/>
      <x:c r="I1" s="96"/>
      <x:c r="J1" s="96"/>
      <x:c r="K1" s="96"/>
    </x:row>
    <x:row r="2">
      <x:c r="A2" s="96"/>
      <x:c r="B2" s="96"/>
      <x:c r="C2" s="96"/>
      <x:c r="D2" s="96"/>
      <x:c r="E2" s="96"/>
      <x:c r="F2" s="96"/>
      <x:c r="G2" s="96"/>
      <x:c r="H2" s="96"/>
      <x:c r="I2" s="96"/>
      <x:c r="J2" s="96"/>
      <x:c r="K2" s="96"/>
    </x:row>
    <x:row r="3" ht="15" hidden="0" customHeight="1">
      <x:c r="A3" s="6" t="str">
        <x:v>ช่วงข้อมูล 27–29 สิงหาคม 2026 · ตรวจเทียบ Gmail → Supabase → Storage → การอ่านไฟล์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</x:row>
    <x:row r="4" ht="15" hidden="0" customHeight="1">
      <x:c r="A4" s="11"/>
      <x:c r="B4" s="11"/>
      <x:c r="C4" s="11"/>
      <x:c r="D4" s="11"/>
      <x:c r="E4" s="11"/>
      <x:c r="F4" s="11"/>
      <x:c r="G4" s="11"/>
      <x:c r="H4" s="11"/>
      <x:c r="I4" s="11"/>
      <x:c r="J4" s="11"/>
      <x:c r="K4" s="11"/>
    </x:row>
    <x:row r="5" ht="24" hidden="0" customHeight="1">
      <x:c r="A5" s="97" t="str">
        <x:v>วันที่</x:v>
      </x:c>
      <x:c r="B5" s="97" t="str">
        <x:v>เมล Gmail</x:v>
      </x:c>
      <x:c r="C5" s="97" t="str">
        <x:v>ไฟล์ Gmail</x:v>
      </x:c>
      <x:c r="D5" s="97" t="str">
        <x:v>ไฟล์ในฐานข้อมูล</x:v>
      </x:c>
      <x:c r="E5" s="97" t="str">
        <x:v>ไฟล์ใน Storage</x:v>
      </x:c>
      <x:c r="F5" s="97" t="str">
        <x:v>ไฟล์ธุรกรรม</x:v>
      </x:c>
      <x:c r="G5" s="97" t="str">
        <x:v>อ่านสำเร็จจริง</x:v>
      </x:c>
      <x:c r="H5" s="97" t="str">
        <x:v>ไฟล์ชี้แจง</x:v>
      </x:c>
      <x:c r="I5" s="97" t="str">
        <x:v>ต้องดำเนินการ</x:v>
      </x:c>
      <x:c r="J5" s="97" t="str">
        <x:v>อัตราพร้อมใช้</x:v>
      </x:c>
      <x:c r="K5" s="97" t="str">
        <x:v>สถานะ</x:v>
      </x:c>
    </x:row>
    <x:row r="6" ht="15" hidden="0" customHeight="1">
      <x:c r="A6" s="38" t="n">
        <x:v>46261</x:v>
      </x:c>
      <x:c r="B6" s="40" t="n">
        <x:v>28</x:v>
      </x:c>
      <x:c r="C6" s="40" t="n">
        <x:v>136</x:v>
      </x:c>
      <x:c r="D6" s="40" t="n">
        <x:v>136</x:v>
      </x:c>
      <x:c r="E6" s="40" t="n">
        <x:v>136</x:v>
      </x:c>
      <x:c r="F6" s="40" t="n">
        <x:f>C6-H6</x:f>
        <x:v>112</x:v>
      </x:c>
      <x:c r="G6" s="40" t="n">
        <x:f>F6-I6</x:f>
        <x:v>110</x:v>
      </x:c>
      <x:c r="H6" s="40" t="n">
        <x:v>24</x:v>
      </x:c>
      <x:c r="I6" s="40" t="n">
        <x:v>2</x:v>
      </x:c>
      <x:c r="J6" s="43" t="n">
        <x:f>IF(F6=0,0,G6/F6)</x:f>
        <x:v>0.9821428571428571</x:v>
      </x:c>
      <x:c r="K6" s="23" t="str">
        <x:f>IF(I6=0,"พร้อมใช้","ต้องตรวจ")</x:f>
        <x:v>ต้องตรวจ</x:v>
      </x:c>
    </x:row>
    <x:row r="7" ht="15" hidden="0" customHeight="1">
      <x:c r="A7" s="39" t="n">
        <x:v>46262</x:v>
      </x:c>
      <x:c r="B7" s="41" t="n">
        <x:v>26</x:v>
      </x:c>
      <x:c r="C7" s="41" t="n">
        <x:v>132</x:v>
      </x:c>
      <x:c r="D7" s="41" t="n">
        <x:v>132</x:v>
      </x:c>
      <x:c r="E7" s="41" t="n">
        <x:v>132</x:v>
      </x:c>
      <x:c r="F7" s="41" t="n">
        <x:f>C7-H7</x:f>
        <x:v>103</x:v>
      </x:c>
      <x:c r="G7" s="41" t="n">
        <x:f>F7-I7</x:f>
        <x:v>102</x:v>
      </x:c>
      <x:c r="H7" s="41" t="n">
        <x:v>29</x:v>
      </x:c>
      <x:c r="I7" s="41" t="n">
        <x:v>1</x:v>
      </x:c>
      <x:c r="J7" s="44" t="n">
        <x:f>IF(F7=0,0,G7/F7)</x:f>
        <x:v>0.9902912621359223</x:v>
      </x:c>
      <x:c r="K7" s="26" t="str">
        <x:f>IF(I7=0,"พร้อมใช้","ต้องตรวจ")</x:f>
        <x:v>ต้องตรวจ</x:v>
      </x:c>
    </x:row>
    <x:row r="8" ht="15" hidden="0" customHeight="1">
      <x:c r="A8" s="39" t="n">
        <x:v>46263</x:v>
      </x:c>
      <x:c r="B8" s="41" t="n">
        <x:v>20</x:v>
      </x:c>
      <x:c r="C8" s="41" t="n">
        <x:v>120</x:v>
      </x:c>
      <x:c r="D8" s="41" t="n">
        <x:v>120</x:v>
      </x:c>
      <x:c r="E8" s="41" t="n">
        <x:v>120</x:v>
      </x:c>
      <x:c r="F8" s="41" t="n">
        <x:f>C8-H8</x:f>
        <x:v>100</x:v>
      </x:c>
      <x:c r="G8" s="41" t="n">
        <x:f>F8-I8</x:f>
        <x:v>94</x:v>
      </x:c>
      <x:c r="H8" s="41" t="n">
        <x:v>20</x:v>
      </x:c>
      <x:c r="I8" s="41" t="n">
        <x:v>6</x:v>
      </x:c>
      <x:c r="J8" s="44" t="n">
        <x:f>IF(F8=0,0,G8/F8)</x:f>
        <x:v>0.94</x:v>
      </x:c>
      <x:c r="K8" s="26" t="str">
        <x:f>IF(I8=0,"พร้อมใช้","ต้องตรวจ")</x:f>
        <x:v>ต้องตรวจ</x:v>
      </x:c>
    </x:row>
    <x:row r="9" ht="15" hidden="0" customHeight="1">
      <x:c r="A9" s="36" t="str">
        <x:v>รวม</x:v>
      </x:c>
      <x:c r="B9" s="42" t="n">
        <x:f>SUM(B6:B8)</x:f>
        <x:v>74</x:v>
      </x:c>
      <x:c r="C9" s="42" t="n">
        <x:f>SUM(C6:C8)</x:f>
        <x:v>388</x:v>
      </x:c>
      <x:c r="D9" s="42" t="n">
        <x:f>SUM(D6:D8)</x:f>
        <x:v>388</x:v>
      </x:c>
      <x:c r="E9" s="42" t="n">
        <x:f>SUM(E6:E8)</x:f>
        <x:v>388</x:v>
      </x:c>
      <x:c r="F9" s="42" t="n">
        <x:f>SUM(F6:F8)</x:f>
        <x:v>315</x:v>
      </x:c>
      <x:c r="G9" s="42" t="n">
        <x:f>SUM(G6:G8)</x:f>
        <x:v>306</x:v>
      </x:c>
      <x:c r="H9" s="42" t="n">
        <x:f>SUM(H6:H8)</x:f>
        <x:v>73</x:v>
      </x:c>
      <x:c r="I9" s="42" t="n">
        <x:f>SUM(I6:I8)</x:f>
        <x:v>9</x:v>
      </x:c>
      <x:c r="J9" s="45" t="n">
        <x:f>IF(F9=0,0,G9/F9)</x:f>
        <x:v>0.9714285714285714</x:v>
      </x:c>
      <x:c r="K9" s="37" t="str">
        <x:f>IF(I9=0,"พร้อมใช้","ต้องตรวจ")</x:f>
        <x:v>ต้องตรวจ</x:v>
      </x:c>
    </x:row>
    <x:row r="10" ht="15" hidden="0" customHeight="1">
      <x:c r="A10" s="11"/>
      <x:c r="B10" s="11"/>
      <x:c r="C10" s="11"/>
      <x:c r="D10" s="11"/>
      <x:c r="E10" s="11"/>
      <x:c r="F10" s="11"/>
      <x:c r="G10" s="11"/>
      <x:c r="H10" s="11"/>
      <x:c r="I10" s="11"/>
      <x:c r="J10" s="11"/>
      <x:c r="K10" s="11"/>
    </x:row>
    <x:row r="11" ht="15" hidden="0" customHeight="1">
      <x:c r="A11" s="11"/>
      <x:c r="B11" s="11"/>
      <x:c r="C11" s="11"/>
      <x:c r="D11" s="11"/>
      <x:c r="E11" s="11"/>
      <x:c r="F11" s="11"/>
      <x:c r="G11" s="11"/>
      <x:c r="H11" s="11"/>
      <x:c r="I11" s="11"/>
      <x:c r="J11" s="11"/>
      <x:c r="K11" s="11"/>
    </x:row>
    <x:row r="12" ht="15" hidden="0" customHeight="1">
      <x:c r="A12" s="98" t="str">
        <x:v>ตัวชี้วัด</x:v>
      </x:c>
      <x:c r="B12" s="98" t="str">
        <x:v>จำนวน</x:v>
      </x:c>
      <x:c r="C12" s="98" t="str">
        <x:v>ความหมาย</x:v>
      </x:c>
      <x:c r="D12" s="98" t="str">
        <x:v>ผลตรวจ</x:v>
      </x:c>
      <x:c r="E12" s="11"/>
      <x:c r="F12" s="11"/>
      <x:c r="G12" s="11"/>
      <x:c r="H12" s="11"/>
      <x:c r="I12" s="11"/>
      <x:c r="J12" s="11"/>
      <x:c r="K12" s="11"/>
    </x:row>
    <x:row r="13" ht="48" hidden="0" customHeight="1">
      <x:c r="A13" s="47" t="str">
        <x:v>เมลที่ได้รับ</x:v>
      </x:c>
      <x:c r="B13" s="56" t="n">
        <x:f>B9</x:f>
        <x:v>74</x:v>
      </x:c>
      <x:c r="C13" s="48" t="str">
        <x:v>เมลหัวข้อวันที่ 27–29 จากผู้ส่งที่กำหนด</x:v>
      </x:c>
      <x:c r="D13" s="61" t="str">
        <x:v>ครบ</x:v>
      </x:c>
      <x:c r="E13" s="11"/>
      <x:c r="F13" s="11"/>
      <x:c r="G13" s="11"/>
      <x:c r="H13" s="11"/>
      <x:c r="I13" s="11"/>
      <x:c r="J13" s="11"/>
      <x:c r="K13" s="11"/>
    </x:row>
    <x:row r="14" ht="24" hidden="0" customHeight="1">
      <x:c r="A14" s="50" t="str">
        <x:v>ไฟล์แนบทั้งหมด</x:v>
      </x:c>
      <x:c r="B14" s="57" t="n">
        <x:f>C9</x:f>
        <x:v>388</x:v>
      </x:c>
      <x:c r="C14" s="51" t="str">
        <x:v>จำนวนไฟล์ใน Gmail</x:v>
      </x:c>
      <x:c r="D14" s="62" t="str">
        <x:v>ครบ</x:v>
      </x:c>
      <x:c r="E14" s="11"/>
      <x:c r="F14" s="11"/>
      <x:c r="G14" s="11"/>
      <x:c r="H14" s="11"/>
      <x:c r="I14" s="11"/>
      <x:c r="J14" s="11"/>
      <x:c r="K14" s="11"/>
    </x:row>
    <x:row r="15" ht="48" hidden="0" customHeight="1">
      <x:c r="A15" s="50" t="str">
        <x:v>จัดเก็บใน Supabase/Storage</x:v>
      </x:c>
      <x:c r="B15" s="57" t="n">
        <x:f>E9</x:f>
        <x:v>388</x:v>
      </x:c>
      <x:c r="C15" s="51" t="str">
        <x:v>ไฟล์มีระเบียนและ storage path</x:v>
      </x:c>
      <x:c r="D15" s="62" t="str">
        <x:v>ครบ</x:v>
      </x:c>
      <x:c r="E15" s="11"/>
      <x:c r="F15" s="11"/>
      <x:c r="G15" s="11"/>
      <x:c r="H15" s="11"/>
      <x:c r="I15" s="11"/>
      <x:c r="J15" s="11"/>
      <x:c r="K15" s="11"/>
    </x:row>
    <x:row r="16" ht="36" hidden="0" customHeight="1">
      <x:c r="A16" s="50" t="str">
        <x:v>ไฟล์ธุรกรรมพร้อมใช้</x:v>
      </x:c>
      <x:c r="B16" s="57" t="n">
        <x:f>G9</x:f>
        <x:v>306</x:v>
      </x:c>
      <x:c r="C16" s="51" t="str">
        <x:v>ตัดไฟล์ชี้แจงและไฟล์ผิดปกติออก</x:v>
      </x:c>
      <x:c r="D16" s="64" t="str">
        <x:v>ต้องแก้ 9 ไฟล์</x:v>
      </x:c>
      <x:c r="E16" s="11"/>
      <x:c r="F16" s="11"/>
      <x:c r="G16" s="11"/>
      <x:c r="H16" s="11"/>
      <x:c r="I16" s="11"/>
      <x:c r="J16" s="11"/>
      <x:c r="K16" s="11"/>
    </x:row>
    <x:row r="17" ht="60" hidden="0" customHeight="1">
      <x:c r="A17" s="53" t="str">
        <x:v>เอกสารชี้แจง</x:v>
      </x:c>
      <x:c r="B17" s="58" t="n">
        <x:f>H9</x:f>
        <x:v>73</x:v>
      </x:c>
      <x:c r="C17" s="54" t="str">
        <x:v>เก็บแล้ว รอจับคู่หลักฐาน ไม่ถือเป็นไฟล์ขาด</x:v>
      </x:c>
      <x:c r="D17" s="66" t="str">
        <x:v>73 ไฟล์</x:v>
      </x:c>
      <x:c r="E17" s="11"/>
      <x:c r="F17" s="11"/>
      <x:c r="G17" s="11"/>
      <x:c r="H17" s="11"/>
      <x:c r="I17" s="11"/>
      <x:c r="J17" s="11"/>
      <x:c r="K17" s="11"/>
    </x:row>
  </x:sheetData>
  <x:mergeCells>
    <x:mergeCell ref="A1:K2"/>
    <x:mergeCell ref="A3:K3"/>
  </x:mergeCells>
  <x:conditionalFormatting sqref="I6:I8">
    <x:cfRule type="cellIs" dxfId="0" priority="1" operator="greaterThan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</x:cols>
  <x:sheetData>
    <x:row r="1" ht="15" hidden="0" customHeight="1">
      <x:c r="A1" s="96" t="str">
        <x:v>ความครบถ้วนรายบริษัท</x:v>
      </x:c>
      <x:c r="B1" s="96"/>
      <x:c r="C1" s="96"/>
      <x:c r="D1" s="96"/>
      <x:c r="E1" s="96"/>
      <x:c r="F1" s="96"/>
      <x:c r="G1" s="96"/>
      <x:c r="H1" s="96"/>
      <x:c r="I1" s="96"/>
      <x:c r="J1" s="96"/>
      <x:c r="K1" s="11"/>
    </x:row>
    <x:row r="2" ht="15" hidden="0" customHeight="1">
      <x:c r="A2" s="96"/>
      <x:c r="B2" s="96"/>
      <x:c r="C2" s="96"/>
      <x:c r="D2" s="96"/>
      <x:c r="E2" s="96"/>
      <x:c r="F2" s="96"/>
      <x:c r="G2" s="96"/>
      <x:c r="H2" s="96"/>
      <x:c r="I2" s="96"/>
      <x:c r="J2" s="96"/>
      <x:c r="K2" s="11"/>
    </x:row>
    <x:row r="3" ht="15" hidden="0" customHeight="1">
      <x:c r="A3" s="6" t="str">
        <x:v>ตัวเลขมาจากไฟล์ที่จัดเก็บจริง แยก BO, STM/PM, เอกสารชี้แจง และไฟล์ที่ต้องดำเนินการ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</x:row>
    <x:row r="4" ht="15" hidden="0" customHeight="1">
      <x:c r="A4" s="11"/>
      <x:c r="B4" s="11"/>
      <x:c r="C4" s="11"/>
      <x:c r="D4" s="11"/>
      <x:c r="E4" s="11"/>
      <x:c r="F4" s="11"/>
      <x:c r="G4" s="11"/>
      <x:c r="H4" s="11"/>
      <x:c r="I4" s="11"/>
      <x:c r="J4" s="11"/>
      <x:c r="K4" s="11"/>
    </x:row>
    <x:row r="5" ht="24" hidden="0" customHeight="1">
      <x:c r="A5" s="97" t="str">
        <x:v>วันที่</x:v>
      </x:c>
      <x:c r="B5" s="97" t="str">
        <x:v>บริษัท</x:v>
      </x:c>
      <x:c r="C5" s="97" t="str">
        <x:v>ไฟล์ทั้งหมด</x:v>
      </x:c>
      <x:c r="D5" s="97" t="str">
        <x:v>BO</x:v>
      </x:c>
      <x:c r="E5" s="97" t="str">
        <x:v>STM/PM</x:v>
      </x:c>
      <x:c r="F5" s="97" t="str">
        <x:v>ไฟล์ชี้แจง</x:v>
      </x:c>
      <x:c r="G5" s="97" t="str">
        <x:v>อ่านไม่สำเร็จ</x:v>
      </x:c>
      <x:c r="H5" s="97" t="str">
        <x:v>ไฟล์เล็กผิดปกติ</x:v>
      </x:c>
      <x:c r="I5" s="97" t="str">
        <x:v>พร้อมใช้จริง</x:v>
      </x:c>
      <x:c r="J5" s="97" t="str">
        <x:v>สถานะ</x:v>
      </x:c>
      <x:c r="K5" s="11"/>
    </x:row>
    <x:row r="6" ht="15" hidden="0" customHeight="1">
      <x:c r="A6" s="38" t="n">
        <x:v>46261</x:v>
      </x:c>
      <x:c r="B6" s="22" t="str">
        <x:v>3XB</x:v>
      </x:c>
      <x:c r="C6" s="40" t="n">
        <x:v>18</x:v>
      </x:c>
      <x:c r="D6" s="40" t="n">
        <x:v>1</x:v>
      </x:c>
      <x:c r="E6" s="40" t="n">
        <x:v>14</x:v>
      </x:c>
      <x:c r="F6" s="40" t="n">
        <x:v>3</x:v>
      </x:c>
      <x:c r="G6" s="40" t="n">
        <x:v>0</x:v>
      </x:c>
      <x:c r="H6" s="40" t="n">
        <x:v>0</x:v>
      </x:c>
      <x:c r="I6" s="40" t="n">
        <x:f>C6-F6-G6-H6</x:f>
        <x:v>15</x:v>
      </x:c>
      <x:c r="J6" s="23" t="str">
        <x:f>IF(G6+H6=0,"พร้อมใช้","ต้องตรวจ")</x:f>
        <x:v>พร้อมใช้</x:v>
      </x:c>
      <x:c r="K6" s="11"/>
    </x:row>
    <x:row r="7" ht="15" hidden="0" customHeight="1">
      <x:c r="A7" s="39" t="n">
        <x:v>46261</x:v>
      </x:c>
      <x:c r="B7" s="25" t="str">
        <x:v>AT4</x:v>
      </x:c>
      <x:c r="C7" s="41" t="n">
        <x:v>15</x:v>
      </x:c>
      <x:c r="D7" s="41" t="n">
        <x:v>4</x:v>
      </x:c>
      <x:c r="E7" s="41" t="n">
        <x:v>5</x:v>
      </x:c>
      <x:c r="F7" s="41" t="n">
        <x:v>0</x:v>
      </x:c>
      <x:c r="G7" s="41" t="n">
        <x:v>0</x:v>
      </x:c>
      <x:c r="H7" s="41" t="n">
        <x:v>0</x:v>
      </x:c>
      <x:c r="I7" s="41" t="n">
        <x:f>C7-F7-G7-H7</x:f>
        <x:v>15</x:v>
      </x:c>
      <x:c r="J7" s="26" t="str">
        <x:f>IF(G7+H7=0,"พร้อมใช้","ต้องตรวจ")</x:f>
        <x:v>พร้อมใช้</x:v>
      </x:c>
      <x:c r="K7" s="11"/>
    </x:row>
    <x:row r="8" ht="15" hidden="0" customHeight="1">
      <x:c r="A8" s="39" t="n">
        <x:v>46261</x:v>
      </x:c>
      <x:c r="B8" s="25" t="str">
        <x:v>FR8</x:v>
      </x:c>
      <x:c r="C8" s="41" t="n">
        <x:v>20</x:v>
      </x:c>
      <x:c r="D8" s="41" t="n">
        <x:v>2</x:v>
      </x:c>
      <x:c r="E8" s="41" t="n">
        <x:v>8</x:v>
      </x:c>
      <x:c r="F8" s="41" t="n">
        <x:v>4</x:v>
      </x:c>
      <x:c r="G8" s="41" t="n">
        <x:v>2</x:v>
      </x:c>
      <x:c r="H8" s="41" t="n">
        <x:v>0</x:v>
      </x:c>
      <x:c r="I8" s="41" t="n">
        <x:f>C8-F8-G8-H8</x:f>
        <x:v>14</x:v>
      </x:c>
      <x:c r="J8" s="26" t="str">
        <x:f>IF(G8+H8=0,"พร้อมใช้","ต้องตรวจ")</x:f>
        <x:v>ต้องตรวจ</x:v>
      </x:c>
      <x:c r="K8" s="11"/>
    </x:row>
    <x:row r="9" ht="15" hidden="0" customHeight="1">
      <x:c r="A9" s="39" t="n">
        <x:v>46261</x:v>
      </x:c>
      <x:c r="B9" s="25" t="str">
        <x:v>MC8</x:v>
      </x:c>
      <x:c r="C9" s="41" t="n">
        <x:v>9</x:v>
      </x:c>
      <x:c r="D9" s="41" t="n">
        <x:v>1</x:v>
      </x:c>
      <x:c r="E9" s="41" t="n">
        <x:v>7</x:v>
      </x:c>
      <x:c r="F9" s="41" t="n">
        <x:v>1</x:v>
      </x:c>
      <x:c r="G9" s="41" t="n">
        <x:v>0</x:v>
      </x:c>
      <x:c r="H9" s="41" t="n">
        <x:v>0</x:v>
      </x:c>
      <x:c r="I9" s="41" t="n">
        <x:f>C9-F9-G9-H9</x:f>
        <x:v>8</x:v>
      </x:c>
      <x:c r="J9" s="26" t="str">
        <x:f>IF(G9+H9=0,"พร้อมใช้","ต้องตรวจ")</x:f>
        <x:v>พร้อมใช้</x:v>
      </x:c>
      <x:c r="K9" s="11"/>
    </x:row>
    <x:row r="10" ht="15" hidden="0" customHeight="1">
      <x:c r="A10" s="39" t="n">
        <x:v>46261</x:v>
      </x:c>
      <x:c r="B10" s="25" t="str">
        <x:v>MR9</x:v>
      </x:c>
      <x:c r="C10" s="41" t="n">
        <x:v>14</x:v>
      </x:c>
      <x:c r="D10" s="41" t="n">
        <x:v>1</x:v>
      </x:c>
      <x:c r="E10" s="41" t="n">
        <x:v>10</x:v>
      </x:c>
      <x:c r="F10" s="41" t="n">
        <x:v>3</x:v>
      </x:c>
      <x:c r="G10" s="41" t="n">
        <x:v>0</x:v>
      </x:c>
      <x:c r="H10" s="41" t="n">
        <x:v>0</x:v>
      </x:c>
      <x:c r="I10" s="41" t="n">
        <x:f>C10-F10-G10-H10</x:f>
        <x:v>11</x:v>
      </x:c>
      <x:c r="J10" s="26" t="str">
        <x:f>IF(G10+H10=0,"พร้อมใช้","ต้องตรวจ")</x:f>
        <x:v>พร้อมใช้</x:v>
      </x:c>
      <x:c r="K10" s="11"/>
    </x:row>
    <x:row r="11" ht="15" hidden="0" customHeight="1">
      <x:c r="A11" s="39" t="n">
        <x:v>46261</x:v>
      </x:c>
      <x:c r="B11" s="25" t="str">
        <x:v>PS8</x:v>
      </x:c>
      <x:c r="C11" s="41" t="n">
        <x:v>13</x:v>
      </x:c>
      <x:c r="D11" s="41" t="n">
        <x:v>1</x:v>
      </x:c>
      <x:c r="E11" s="41" t="n">
        <x:v>10</x:v>
      </x:c>
      <x:c r="F11" s="41" t="n">
        <x:v>2</x:v>
      </x:c>
      <x:c r="G11" s="41" t="n">
        <x:v>0</x:v>
      </x:c>
      <x:c r="H11" s="41" t="n">
        <x:v>0</x:v>
      </x:c>
      <x:c r="I11" s="41" t="n">
        <x:f>C11-F11-G11-H11</x:f>
        <x:v>11</x:v>
      </x:c>
      <x:c r="J11" s="26" t="str">
        <x:f>IF(G11+H11=0,"พร้อมใช้","ต้องตรวจ")</x:f>
        <x:v>พร้อมใช้</x:v>
      </x:c>
      <x:c r="K11" s="11"/>
    </x:row>
    <x:row r="12" ht="15" hidden="0" customHeight="1">
      <x:c r="A12" s="39" t="n">
        <x:v>46261</x:v>
      </x:c>
      <x:c r="B12" s="25" t="str">
        <x:v>SK8</x:v>
      </x:c>
      <x:c r="C12" s="41" t="n">
        <x:v>19</x:v>
      </x:c>
      <x:c r="D12" s="41" t="n">
        <x:v>4</x:v>
      </x:c>
      <x:c r="E12" s="41" t="n">
        <x:v>5</x:v>
      </x:c>
      <x:c r="F12" s="41" t="n">
        <x:v>1</x:v>
      </x:c>
      <x:c r="G12" s="41" t="n">
        <x:v>0</x:v>
      </x:c>
      <x:c r="H12" s="41" t="n">
        <x:v>0</x:v>
      </x:c>
      <x:c r="I12" s="41" t="n">
        <x:f>C12-F12-G12-H12</x:f>
        <x:v>18</x:v>
      </x:c>
      <x:c r="J12" s="26" t="str">
        <x:f>IF(G12+H12=0,"พร้อมใช้","ต้องตรวจ")</x:f>
        <x:v>พร้อมใช้</x:v>
      </x:c>
      <x:c r="K12" s="11"/>
    </x:row>
    <x:row r="13" ht="15" hidden="0" customHeight="1">
      <x:c r="A13" s="39" t="n">
        <x:v>46261</x:v>
      </x:c>
      <x:c r="B13" s="25" t="str">
        <x:v>UFABET7M</x:v>
      </x:c>
      <x:c r="C13" s="41" t="n">
        <x:v>12</x:v>
      </x:c>
      <x:c r="D13" s="41" t="n">
        <x:v>1</x:v>
      </x:c>
      <x:c r="E13" s="41" t="n">
        <x:v>6</x:v>
      </x:c>
      <x:c r="F13" s="41" t="n">
        <x:v>5</x:v>
      </x:c>
      <x:c r="G13" s="41" t="n">
        <x:v>0</x:v>
      </x:c>
      <x:c r="H13" s="41" t="n">
        <x:v>0</x:v>
      </x:c>
      <x:c r="I13" s="41" t="n">
        <x:f>C13-F13-G13-H13</x:f>
        <x:v>7</x:v>
      </x:c>
      <x:c r="J13" s="26" t="str">
        <x:f>IF(G13+H13=0,"พร้อมใช้","ต้องตรวจ")</x:f>
        <x:v>พร้อมใช้</x:v>
      </x:c>
      <x:c r="K13" s="11"/>
    </x:row>
    <x:row r="14" ht="15" hidden="0" customHeight="1">
      <x:c r="A14" s="39" t="n">
        <x:v>46261</x:v>
      </x:c>
      <x:c r="B14" s="25" t="str">
        <x:v>UR9</x:v>
      </x:c>
      <x:c r="C14" s="41" t="n">
        <x:v>16</x:v>
      </x:c>
      <x:c r="D14" s="41" t="n">
        <x:v>1</x:v>
      </x:c>
      <x:c r="E14" s="41" t="n">
        <x:v>10</x:v>
      </x:c>
      <x:c r="F14" s="41" t="n">
        <x:v>5</x:v>
      </x:c>
      <x:c r="G14" s="41" t="n">
        <x:v>0</x:v>
      </x:c>
      <x:c r="H14" s="41" t="n">
        <x:v>0</x:v>
      </x:c>
      <x:c r="I14" s="41" t="n">
        <x:f>C14-F14-G14-H14</x:f>
        <x:v>11</x:v>
      </x:c>
      <x:c r="J14" s="26" t="str">
        <x:f>IF(G14+H14=0,"พร้อมใช้","ต้องตรวจ")</x:f>
        <x:v>พร้อมใช้</x:v>
      </x:c>
      <x:c r="K14" s="11"/>
    </x:row>
    <x:row r="15" ht="15" hidden="0" customHeight="1">
      <x:c r="A15" s="39" t="n">
        <x:v>46262</x:v>
      </x:c>
      <x:c r="B15" s="25" t="str">
        <x:v>3XB</x:v>
      </x:c>
      <x:c r="C15" s="41" t="n">
        <x:v>23</x:v>
      </x:c>
      <x:c r="D15" s="41" t="n">
        <x:v>1</x:v>
      </x:c>
      <x:c r="E15" s="41" t="n">
        <x:v>12</x:v>
      </x:c>
      <x:c r="F15" s="41" t="n">
        <x:v>10</x:v>
      </x:c>
      <x:c r="G15" s="41" t="n">
        <x:v>0</x:v>
      </x:c>
      <x:c r="H15" s="41" t="n">
        <x:v>0</x:v>
      </x:c>
      <x:c r="I15" s="41" t="n">
        <x:f>C15-F15-G15-H15</x:f>
        <x:v>13</x:v>
      </x:c>
      <x:c r="J15" s="26" t="str">
        <x:f>IF(G15+H15=0,"พร้อมใช้","ต้องตรวจ")</x:f>
        <x:v>พร้อมใช้</x:v>
      </x:c>
      <x:c r="K15" s="11"/>
    </x:row>
    <x:row r="16" ht="15" hidden="0" customHeight="1">
      <x:c r="A16" s="39" t="n">
        <x:v>46262</x:v>
      </x:c>
      <x:c r="B16" s="25" t="str">
        <x:v>AT4</x:v>
      </x:c>
      <x:c r="C16" s="41" t="n">
        <x:v>14</x:v>
      </x:c>
      <x:c r="D16" s="41" t="n">
        <x:v>2</x:v>
      </x:c>
      <x:c r="E16" s="41" t="n">
        <x:v>8</x:v>
      </x:c>
      <x:c r="F16" s="41" t="n">
        <x:v>1</x:v>
      </x:c>
      <x:c r="G16" s="41" t="n">
        <x:v>0</x:v>
      </x:c>
      <x:c r="H16" s="41" t="n">
        <x:v>0</x:v>
      </x:c>
      <x:c r="I16" s="41" t="n">
        <x:f>C16-F16-G16-H16</x:f>
        <x:v>13</x:v>
      </x:c>
      <x:c r="J16" s="26" t="str">
        <x:f>IF(G16+H16=0,"พร้อมใช้","ต้องตรวจ")</x:f>
        <x:v>พร้อมใช้</x:v>
      </x:c>
      <x:c r="K16" s="11"/>
    </x:row>
    <x:row r="17" ht="15" hidden="0" customHeight="1">
      <x:c r="A17" s="39" t="n">
        <x:v>46262</x:v>
      </x:c>
      <x:c r="B17" s="25" t="str">
        <x:v>FR8</x:v>
      </x:c>
      <x:c r="C17" s="41" t="n">
        <x:v>19</x:v>
      </x:c>
      <x:c r="D17" s="41" t="n">
        <x:v>2</x:v>
      </x:c>
      <x:c r="E17" s="41" t="n">
        <x:v>10</x:v>
      </x:c>
      <x:c r="F17" s="41" t="n">
        <x:v>3</x:v>
      </x:c>
      <x:c r="G17" s="41" t="n">
        <x:v>0</x:v>
      </x:c>
      <x:c r="H17" s="41" t="n">
        <x:v>0</x:v>
      </x:c>
      <x:c r="I17" s="41" t="n">
        <x:f>C17-F17-G17-H17</x:f>
        <x:v>16</x:v>
      </x:c>
      <x:c r="J17" s="26" t="str">
        <x:f>IF(G17+H17=0,"พร้อมใช้","ต้องตรวจ")</x:f>
        <x:v>พร้อมใช้</x:v>
      </x:c>
      <x:c r="K17" s="11"/>
    </x:row>
    <x:row r="18" ht="15" hidden="0" customHeight="1">
      <x:c r="A18" s="39" t="n">
        <x:v>46262</x:v>
      </x:c>
      <x:c r="B18" s="25" t="str">
        <x:v>MC8</x:v>
      </x:c>
      <x:c r="C18" s="41" t="n">
        <x:v>14</x:v>
      </x:c>
      <x:c r="D18" s="41" t="n">
        <x:v>1</x:v>
      </x:c>
      <x:c r="E18" s="41" t="n">
        <x:v>9</x:v>
      </x:c>
      <x:c r="F18" s="41" t="n">
        <x:v>4</x:v>
      </x:c>
      <x:c r="G18" s="41" t="n">
        <x:v>0</x:v>
      </x:c>
      <x:c r="H18" s="41" t="n">
        <x:v>0</x:v>
      </x:c>
      <x:c r="I18" s="41" t="n">
        <x:f>C18-F18-G18-H18</x:f>
        <x:v>10</x:v>
      </x:c>
      <x:c r="J18" s="26" t="str">
        <x:f>IF(G18+H18=0,"พร้อมใช้","ต้องตรวจ")</x:f>
        <x:v>พร้อมใช้</x:v>
      </x:c>
      <x:c r="K18" s="11"/>
    </x:row>
    <x:row r="19" ht="15" hidden="0" customHeight="1">
      <x:c r="A19" s="39" t="n">
        <x:v>46262</x:v>
      </x:c>
      <x:c r="B19" s="25" t="str">
        <x:v>MR9</x:v>
      </x:c>
      <x:c r="C19" s="41" t="n">
        <x:v>12</x:v>
      </x:c>
      <x:c r="D19" s="41" t="n">
        <x:v>1</x:v>
      </x:c>
      <x:c r="E19" s="41" t="n">
        <x:v>9</x:v>
      </x:c>
      <x:c r="F19" s="41" t="n">
        <x:v>2</x:v>
      </x:c>
      <x:c r="G19" s="41" t="n">
        <x:v>0</x:v>
      </x:c>
      <x:c r="H19" s="41" t="n">
        <x:v>0</x:v>
      </x:c>
      <x:c r="I19" s="41" t="n">
        <x:f>C19-F19-G19-H19</x:f>
        <x:v>10</x:v>
      </x:c>
      <x:c r="J19" s="26" t="str">
        <x:f>IF(G19+H19=0,"พร้อมใช้","ต้องตรวจ")</x:f>
        <x:v>พร้อมใช้</x:v>
      </x:c>
      <x:c r="K19" s="11"/>
    </x:row>
    <x:row r="20" ht="15" hidden="0" customHeight="1">
      <x:c r="A20" s="39" t="n">
        <x:v>46262</x:v>
      </x:c>
      <x:c r="B20" s="25" t="str">
        <x:v>PS8</x:v>
      </x:c>
      <x:c r="C20" s="41" t="n">
        <x:v>11</x:v>
      </x:c>
      <x:c r="D20" s="41" t="n">
        <x:v>1</x:v>
      </x:c>
      <x:c r="E20" s="41" t="n">
        <x:v>10</x:v>
      </x:c>
      <x:c r="F20" s="41" t="n">
        <x:v>0</x:v>
      </x:c>
      <x:c r="G20" s="41" t="n">
        <x:v>0</x:v>
      </x:c>
      <x:c r="H20" s="41" t="n">
        <x:v>1</x:v>
      </x:c>
      <x:c r="I20" s="41" t="n">
        <x:f>C20-F20-G20-H20</x:f>
        <x:v>10</x:v>
      </x:c>
      <x:c r="J20" s="26" t="str">
        <x:f>IF(G20+H20=0,"พร้อมใช้","ต้องตรวจ")</x:f>
        <x:v>ต้องตรวจ</x:v>
      </x:c>
      <x:c r="K20" s="11"/>
    </x:row>
    <x:row r="21" ht="15" hidden="0" customHeight="1">
      <x:c r="A21" s="39" t="n">
        <x:v>46262</x:v>
      </x:c>
      <x:c r="B21" s="25" t="str">
        <x:v>SK8</x:v>
      </x:c>
      <x:c r="C21" s="41" t="n">
        <x:v>13</x:v>
      </x:c>
      <x:c r="D21" s="41" t="n">
        <x:v>2</x:v>
      </x:c>
      <x:c r="E21" s="41" t="n">
        <x:v>6</x:v>
      </x:c>
      <x:c r="F21" s="41" t="n">
        <x:v>1</x:v>
      </x:c>
      <x:c r="G21" s="41" t="n">
        <x:v>0</x:v>
      </x:c>
      <x:c r="H21" s="41" t="n">
        <x:v>0</x:v>
      </x:c>
      <x:c r="I21" s="41" t="n">
        <x:f>C21-F21-G21-H21</x:f>
        <x:v>12</x:v>
      </x:c>
      <x:c r="J21" s="26" t="str">
        <x:f>IF(G21+H21=0,"พร้อมใช้","ต้องตรวจ")</x:f>
        <x:v>พร้อมใช้</x:v>
      </x:c>
      <x:c r="K21" s="11"/>
    </x:row>
    <x:row r="22" ht="15" hidden="0" customHeight="1">
      <x:c r="A22" s="39" t="n">
        <x:v>46262</x:v>
      </x:c>
      <x:c r="B22" s="25" t="str">
        <x:v>UFABET7M</x:v>
      </x:c>
      <x:c r="C22" s="41" t="n">
        <x:v>13</x:v>
      </x:c>
      <x:c r="D22" s="41" t="n">
        <x:v>1</x:v>
      </x:c>
      <x:c r="E22" s="41" t="n">
        <x:v>6</x:v>
      </x:c>
      <x:c r="F22" s="41" t="n">
        <x:v>6</x:v>
      </x:c>
      <x:c r="G22" s="41" t="n">
        <x:v>0</x:v>
      </x:c>
      <x:c r="H22" s="41" t="n">
        <x:v>0</x:v>
      </x:c>
      <x:c r="I22" s="41" t="n">
        <x:f>C22-F22-G22-H22</x:f>
        <x:v>7</x:v>
      </x:c>
      <x:c r="J22" s="26" t="str">
        <x:f>IF(G22+H22=0,"พร้อมใช้","ต้องตรวจ")</x:f>
        <x:v>พร้อมใช้</x:v>
      </x:c>
      <x:c r="K22" s="11"/>
    </x:row>
    <x:row r="23" ht="15" hidden="0" customHeight="1">
      <x:c r="A23" s="39" t="n">
        <x:v>46262</x:v>
      </x:c>
      <x:c r="B23" s="25" t="str">
        <x:v>UR9</x:v>
      </x:c>
      <x:c r="C23" s="41" t="n">
        <x:v>13</x:v>
      </x:c>
      <x:c r="D23" s="41" t="n">
        <x:v>1</x:v>
      </x:c>
      <x:c r="E23" s="41" t="n">
        <x:v>10</x:v>
      </x:c>
      <x:c r="F23" s="41" t="n">
        <x:v>2</x:v>
      </x:c>
      <x:c r="G23" s="41" t="n">
        <x:v>0</x:v>
      </x:c>
      <x:c r="H23" s="41" t="n">
        <x:v>0</x:v>
      </x:c>
      <x:c r="I23" s="41" t="n">
        <x:f>C23-F23-G23-H23</x:f>
        <x:v>11</x:v>
      </x:c>
      <x:c r="J23" s="26" t="str">
        <x:f>IF(G23+H23=0,"พร้อมใช้","ต้องตรวจ")</x:f>
        <x:v>พร้อมใช้</x:v>
      </x:c>
      <x:c r="K23" s="11"/>
    </x:row>
    <x:row r="24" ht="15" hidden="0" customHeight="1">
      <x:c r="A24" s="39" t="n">
        <x:v>46263</x:v>
      </x:c>
      <x:c r="B24" s="25" t="str">
        <x:v>3XB</x:v>
      </x:c>
      <x:c r="C24" s="41" t="n">
        <x:v>20</x:v>
      </x:c>
      <x:c r="D24" s="41" t="n">
        <x:v>2</x:v>
      </x:c>
      <x:c r="E24" s="41" t="n">
        <x:v>14</x:v>
      </x:c>
      <x:c r="F24" s="41" t="n">
        <x:v>4</x:v>
      </x:c>
      <x:c r="G24" s="41" t="n">
        <x:v>5</x:v>
      </x:c>
      <x:c r="H24" s="41" t="n">
        <x:v>0</x:v>
      </x:c>
      <x:c r="I24" s="41" t="n">
        <x:f>C24-F24-G24-H24</x:f>
        <x:v>11</x:v>
      </x:c>
      <x:c r="J24" s="26" t="str">
        <x:f>IF(G24+H24=0,"พร้อมใช้","ต้องตรวจ")</x:f>
        <x:v>ต้องตรวจ</x:v>
      </x:c>
      <x:c r="K24" s="11"/>
    </x:row>
    <x:row r="25" ht="15" hidden="0" customHeight="1">
      <x:c r="A25" s="39" t="n">
        <x:v>46263</x:v>
      </x:c>
      <x:c r="B25" s="25" t="str">
        <x:v>AT4</x:v>
      </x:c>
      <x:c r="C25" s="41" t="n">
        <x:v>10</x:v>
      </x:c>
      <x:c r="D25" s="41" t="n">
        <x:v>2</x:v>
      </x:c>
      <x:c r="E25" s="41" t="n">
        <x:v>6</x:v>
      </x:c>
      <x:c r="F25" s="41" t="n">
        <x:v>0</x:v>
      </x:c>
      <x:c r="G25" s="41" t="n">
        <x:v>0</x:v>
      </x:c>
      <x:c r="H25" s="41" t="n">
        <x:v>0</x:v>
      </x:c>
      <x:c r="I25" s="41" t="n">
        <x:f>C25-F25-G25-H25</x:f>
        <x:v>10</x:v>
      </x:c>
      <x:c r="J25" s="26" t="str">
        <x:f>IF(G25+H25=0,"พร้อมใช้","ต้องตรวจ")</x:f>
        <x:v>พร้อมใช้</x:v>
      </x:c>
      <x:c r="K25" s="11"/>
    </x:row>
    <x:row r="26" ht="15" hidden="0" customHeight="1">
      <x:c r="A26" s="39" t="n">
        <x:v>46263</x:v>
      </x:c>
      <x:c r="B26" s="25" t="str">
        <x:v>FR8</x:v>
      </x:c>
      <x:c r="C26" s="41" t="n">
        <x:v>20</x:v>
      </x:c>
      <x:c r="D26" s="41" t="n">
        <x:v>2</x:v>
      </x:c>
      <x:c r="E26" s="41" t="n">
        <x:v>9</x:v>
      </x:c>
      <x:c r="F26" s="41" t="n">
        <x:v>5</x:v>
      </x:c>
      <x:c r="G26" s="41" t="n">
        <x:v>0</x:v>
      </x:c>
      <x:c r="H26" s="41" t="n">
        <x:v>0</x:v>
      </x:c>
      <x:c r="I26" s="41" t="n">
        <x:f>C26-F26-G26-H26</x:f>
        <x:v>15</x:v>
      </x:c>
      <x:c r="J26" s="26" t="str">
        <x:f>IF(G26+H26=0,"พร้อมใช้","ต้องตรวจ")</x:f>
        <x:v>พร้อมใช้</x:v>
      </x:c>
      <x:c r="K26" s="11"/>
    </x:row>
    <x:row r="27" ht="15" hidden="0" customHeight="1">
      <x:c r="A27" s="39" t="n">
        <x:v>46263</x:v>
      </x:c>
      <x:c r="B27" s="25" t="str">
        <x:v>MC8</x:v>
      </x:c>
      <x:c r="C27" s="41" t="n">
        <x:v>11</x:v>
      </x:c>
      <x:c r="D27" s="41" t="n">
        <x:v>1</x:v>
      </x:c>
      <x:c r="E27" s="41" t="n">
        <x:v>9</x:v>
      </x:c>
      <x:c r="F27" s="41" t="n">
        <x:v>1</x:v>
      </x:c>
      <x:c r="G27" s="41" t="n">
        <x:v>0</x:v>
      </x:c>
      <x:c r="H27" s="41" t="n">
        <x:v>0</x:v>
      </x:c>
      <x:c r="I27" s="41" t="n">
        <x:f>C27-F27-G27-H27</x:f>
        <x:v>10</x:v>
      </x:c>
      <x:c r="J27" s="26" t="str">
        <x:f>IF(G27+H27=0,"พร้อมใช้","ต้องตรวจ")</x:f>
        <x:v>พร้อมใช้</x:v>
      </x:c>
      <x:c r="K27" s="11"/>
    </x:row>
    <x:row r="28" ht="15" hidden="0" customHeight="1">
      <x:c r="A28" s="39" t="n">
        <x:v>46263</x:v>
      </x:c>
      <x:c r="B28" s="25" t="str">
        <x:v>MR9</x:v>
      </x:c>
      <x:c r="C28" s="41" t="n">
        <x:v>16</x:v>
      </x:c>
      <x:c r="D28" s="41" t="n">
        <x:v>1</x:v>
      </x:c>
      <x:c r="E28" s="41" t="n">
        <x:v>9</x:v>
      </x:c>
      <x:c r="F28" s="41" t="n">
        <x:v>6</x:v>
      </x:c>
      <x:c r="G28" s="41" t="n">
        <x:v>0</x:v>
      </x:c>
      <x:c r="H28" s="41" t="n">
        <x:v>0</x:v>
      </x:c>
      <x:c r="I28" s="41" t="n">
        <x:f>C28-F28-G28-H28</x:f>
        <x:v>10</x:v>
      </x:c>
      <x:c r="J28" s="26" t="str">
        <x:f>IF(G28+H28=0,"พร้อมใช้","ต้องตรวจ")</x:f>
        <x:v>พร้อมใช้</x:v>
      </x:c>
      <x:c r="K28" s="11"/>
    </x:row>
    <x:row r="29" ht="15" hidden="0" customHeight="1">
      <x:c r="A29" s="39" t="n">
        <x:v>46263</x:v>
      </x:c>
      <x:c r="B29" s="25" t="str">
        <x:v>PS8</x:v>
      </x:c>
      <x:c r="C29" s="41" t="n">
        <x:v>11</x:v>
      </x:c>
      <x:c r="D29" s="41" t="n">
        <x:v>1</x:v>
      </x:c>
      <x:c r="E29" s="41" t="n">
        <x:v>10</x:v>
      </x:c>
      <x:c r="F29" s="41" t="n">
        <x:v>0</x:v>
      </x:c>
      <x:c r="G29" s="41" t="n">
        <x:v>0</x:v>
      </x:c>
      <x:c r="H29" s="41" t="n">
        <x:v>1</x:v>
      </x:c>
      <x:c r="I29" s="41" t="n">
        <x:f>C29-F29-G29-H29</x:f>
        <x:v>10</x:v>
      </x:c>
      <x:c r="J29" s="26" t="str">
        <x:f>IF(G29+H29=0,"พร้อมใช้","ต้องตรวจ")</x:f>
        <x:v>ต้องตรวจ</x:v>
      </x:c>
      <x:c r="K29" s="11"/>
    </x:row>
    <x:row r="30" ht="15" hidden="0" customHeight="1">
      <x:c r="A30" s="39" t="n">
        <x:v>46263</x:v>
      </x:c>
      <x:c r="B30" s="25" t="str">
        <x:v>SK8</x:v>
      </x:c>
      <x:c r="C30" s="41" t="n">
        <x:v>11</x:v>
      </x:c>
      <x:c r="D30" s="41" t="n">
        <x:v>2</x:v>
      </x:c>
      <x:c r="E30" s="41" t="n">
        <x:v>4</x:v>
      </x:c>
      <x:c r="F30" s="41" t="n">
        <x:v>1</x:v>
      </x:c>
      <x:c r="G30" s="41" t="n">
        <x:v>0</x:v>
      </x:c>
      <x:c r="H30" s="41" t="n">
        <x:v>0</x:v>
      </x:c>
      <x:c r="I30" s="41" t="n">
        <x:f>C30-F30-G30-H30</x:f>
        <x:v>10</x:v>
      </x:c>
      <x:c r="J30" s="26" t="str">
        <x:f>IF(G30+H30=0,"พร้อมใช้","ต้องตรวจ")</x:f>
        <x:v>พร้อมใช้</x:v>
      </x:c>
      <x:c r="K30" s="11"/>
    </x:row>
    <x:row r="31" ht="15" hidden="0" customHeight="1">
      <x:c r="A31" s="39" t="n">
        <x:v>46263</x:v>
      </x:c>
      <x:c r="B31" s="25" t="str">
        <x:v>UFABET7M</x:v>
      </x:c>
      <x:c r="C31" s="41" t="n">
        <x:v>10</x:v>
      </x:c>
      <x:c r="D31" s="41" t="n">
        <x:v>1</x:v>
      </x:c>
      <x:c r="E31" s="41" t="n">
        <x:v>6</x:v>
      </x:c>
      <x:c r="F31" s="41" t="n">
        <x:v>3</x:v>
      </x:c>
      <x:c r="G31" s="41" t="n">
        <x:v>0</x:v>
      </x:c>
      <x:c r="H31" s="41" t="n">
        <x:v>0</x:v>
      </x:c>
      <x:c r="I31" s="41" t="n">
        <x:f>C31-F31-G31-H31</x:f>
        <x:v>7</x:v>
      </x:c>
      <x:c r="J31" s="26" t="str">
        <x:f>IF(G31+H31=0,"พร้อมใช้","ต้องตรวจ")</x:f>
        <x:v>พร้อมใช้</x:v>
      </x:c>
      <x:c r="K31" s="11"/>
    </x:row>
    <x:row r="32" ht="15" hidden="0" customHeight="1">
      <x:c r="A32" s="67" t="n">
        <x:v>46263</x:v>
      </x:c>
      <x:c r="B32" s="28" t="str">
        <x:v>UR9</x:v>
      </x:c>
      <x:c r="C32" s="68" t="n">
        <x:v>11</x:v>
      </x:c>
      <x:c r="D32" s="68" t="n">
        <x:v>1</x:v>
      </x:c>
      <x:c r="E32" s="68" t="n">
        <x:v>10</x:v>
      </x:c>
      <x:c r="F32" s="68" t="n">
        <x:v>0</x:v>
      </x:c>
      <x:c r="G32" s="68" t="n">
        <x:v>0</x:v>
      </x:c>
      <x:c r="H32" s="68" t="n">
        <x:v>0</x:v>
      </x:c>
      <x:c r="I32" s="68" t="n">
        <x:f>C32-F32-G32-H32</x:f>
        <x:v>11</x:v>
      </x:c>
      <x:c r="J32" s="29" t="str">
        <x:f>IF(G32+H32=0,"พร้อมใช้","ต้องตรวจ")</x:f>
        <x:v>พร้อมใช้</x:v>
      </x:c>
      <x:c r="K32" s="11"/>
    </x:row>
  </x:sheetData>
  <x:mergeCells>
    <x:mergeCell ref="A1:J2"/>
    <x:mergeCell ref="A3:K3"/>
  </x:mergeCells>
  <x:conditionalFormatting sqref="J6:J32">
    <x:cfRule type="containsText" dxfId="1" priority="1" operator="containsText" text="ต้องตรวจ"/>
    <x:cfRule type="containsText" dxfId="2" priority="2" operator="containsText" text="พร้อมใช้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42" hidden="0" customWidth="1"/>
    <x:col min="5" max="5" width="13" hidden="0" customWidth="1"/>
    <x:col min="6" max="6" width="13" hidden="0" customWidth="1"/>
    <x:col min="7" max="7" width="34" hidden="0" customWidth="1"/>
    <x:col min="8" max="8" width="34" hidden="0" customWidth="1"/>
    <x:col min="9" max="9" width="14" hidden="0" customWidth="1"/>
  </x:cols>
  <x:sheetData>
    <x:row r="1" ht="15" hidden="0" customHeight="1">
      <x:c r="A1" s="96" t="str">
        <x:v>ไฟล์ที่ต้องดำเนินการ</x:v>
      </x:c>
      <x:c r="B1" s="96"/>
      <x:c r="C1" s="96"/>
      <x:c r="D1" s="96"/>
      <x:c r="E1" s="96"/>
      <x:c r="F1" s="96"/>
      <x:c r="G1" s="96"/>
      <x:c r="H1" s="96"/>
      <x:c r="I1" s="96"/>
      <x:c r="J1" s="11"/>
      <x:c r="K1" s="11"/>
    </x:row>
    <x:row r="2" ht="15" hidden="0" customHeight="1">
      <x:c r="A2" s="96"/>
      <x:c r="B2" s="96"/>
      <x:c r="C2" s="96"/>
      <x:c r="D2" s="96"/>
      <x:c r="E2" s="96"/>
      <x:c r="F2" s="96"/>
      <x:c r="G2" s="96"/>
      <x:c r="H2" s="96"/>
      <x:c r="I2" s="96"/>
      <x:c r="J2" s="11"/>
      <x:c r="K2" s="11"/>
    </x:row>
    <x:row r="3" ht="15" hidden="0" customHeight="1">
      <x:c r="A3" s="6" t="str">
        <x:v>รวมเฉพาะไฟล์ธุรกรรมที่อ่านไม่สำเร็จหรือมีขนาดผิดปกติ ไม่รวมเอกสารชี้แจง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</x:row>
    <x:row r="4" ht="15" hidden="0" customHeight="1">
      <x:c r="A4" s="11"/>
      <x:c r="B4" s="11"/>
      <x:c r="C4" s="11"/>
      <x:c r="D4" s="11"/>
      <x:c r="E4" s="11"/>
      <x:c r="F4" s="11"/>
      <x:c r="G4" s="11"/>
      <x:c r="H4" s="11"/>
      <x:c r="I4" s="11"/>
      <x:c r="J4" s="11"/>
      <x:c r="K4" s="11"/>
    </x:row>
    <x:row r="5" ht="15" hidden="0" customHeight="1">
      <x:c r="A5" s="97" t="str">
        <x:v>ลำดับ</x:v>
      </x:c>
      <x:c r="B5" s="97" t="str">
        <x:v>วันที่</x:v>
      </x:c>
      <x:c r="C5" s="97" t="str">
        <x:v>บริษัท</x:v>
      </x:c>
      <x:c r="D5" s="97" t="str">
        <x:v>ชื่อไฟล์</x:v>
      </x:c>
      <x:c r="E5" s="97" t="str">
        <x:v>ประเภท</x:v>
      </x:c>
      <x:c r="F5" s="97" t="str">
        <x:v>ขนาด (ไบต์)</x:v>
      </x:c>
      <x:c r="G5" s="97" t="str">
        <x:v>ปัญหา</x:v>
      </x:c>
      <x:c r="H5" s="97" t="str">
        <x:v>สิ่งที่ต้องทำ</x:v>
      </x:c>
      <x:c r="I5" s="97" t="str">
        <x:v>สถานะ</x:v>
      </x:c>
      <x:c r="J5" s="11"/>
      <x:c r="K5" s="11"/>
    </x:row>
    <x:row r="6" ht="60" hidden="0" customHeight="1">
      <x:c r="A6" s="69" t="n">
        <x:v>1</x:v>
      </x:c>
      <x:c r="B6" s="78" t="n">
        <x:v>46261</x:v>
      </x:c>
      <x:c r="C6" s="70" t="str">
        <x:v>FR8</x:v>
      </x:c>
      <x:c r="D6" s="70" t="str">
        <x:v>FR8_COMMISSION_WITHDRAW_2026-08-27xlsx (2)</x:v>
      </x:c>
      <x:c r="E6" s="70" t="str">
        <x:v>ถอนค่าคอมมิชชั่น</x:v>
      </x:c>
      <x:c r="F6" s="81" t="n">
        <x:v>15155</x:v>
      </x:c>
      <x:c r="G6" s="90" t="str">
        <x:v>ชื่อไฟล์/นามสกุลผิดรูปแบบ</x:v>
      </x:c>
      <x:c r="H6" s="90" t="str">
        <x:v>เปลี่ยนชื่อเป็น .xlsx และอัปโหลดแทนที่</x:v>
      </x:c>
      <x:c r="I6" s="91" t="str">
        <x:v>รอทีม</x:v>
      </x:c>
      <x:c r="J6" s="11"/>
      <x:c r="K6" s="11"/>
    </x:row>
    <x:row r="7" ht="48" hidden="0" customHeight="1">
      <x:c r="A7" s="72" t="n">
        <x:v>2</x:v>
      </x:c>
      <x:c r="B7" s="79" t="n">
        <x:v>46261</x:v>
      </x:c>
      <x:c r="C7" s="73" t="str">
        <x:v>FR8</x:v>
      </x:c>
      <x:c r="D7" s="73" t="str">
        <x:v>FR8_MANUAL_CREDIT_2026-08-27xlsx (2)</x:v>
      </x:c>
      <x:c r="E7" s="73" t="str">
        <x:v>ฝากมือ-เครดิต</x:v>
      </x:c>
      <x:c r="F7" s="82" t="n">
        <x:v>20992</x:v>
      </x:c>
      <x:c r="G7" s="92" t="str">
        <x:v>ชื่อไฟล์/นามสกุลผิดรูปแบบ</x:v>
      </x:c>
      <x:c r="H7" s="92" t="str">
        <x:v>เปลี่ยนชื่อเป็น .xlsx และอัปโหลดแทนที่</x:v>
      </x:c>
      <x:c r="I7" s="93" t="str">
        <x:v>รอทีม</x:v>
      </x:c>
      <x:c r="J7" s="11"/>
      <x:c r="K7" s="11"/>
    </x:row>
    <x:row r="8" ht="48" hidden="0" customHeight="1">
      <x:c r="A8" s="72" t="n">
        <x:v>3</x:v>
      </x:c>
      <x:c r="B8" s="79" t="n">
        <x:v>46262</x:v>
      </x:c>
      <x:c r="C8" s="73" t="str">
        <x:v>PS8</x:v>
      </x:c>
      <x:c r="D8" s="73" t="str">
        <x:v>PS8_PM_COREPAY_W_2026-08-28.csv</x:v>
      </x:c>
      <x:c r="E8" s="73" t="str">
        <x:v>PM ถอน</x:v>
      </x:c>
      <x:c r="F8" s="82" t="n">
        <x:v>5</x:v>
      </x:c>
      <x:c r="G8" s="92" t="str">
        <x:v>ไฟล์มีขนาด 5 ไบต์/ไม่มีข้อมูล</x:v>
      </x:c>
      <x:c r="H8" s="92" t="str">
        <x:v>ส่งไฟล์ฉบับสมบูรณ์ใหม่</x:v>
      </x:c>
      <x:c r="I8" s="93" t="str">
        <x:v>รอทีม</x:v>
      </x:c>
      <x:c r="J8" s="11"/>
      <x:c r="K8" s="11"/>
    </x:row>
    <x:row r="9" ht="48" hidden="0" customHeight="1">
      <x:c r="A9" s="72" t="n">
        <x:v>4</x:v>
      </x:c>
      <x:c r="B9" s="79" t="n">
        <x:v>46263</x:v>
      </x:c>
      <x:c r="C9" s="73" t="str">
        <x:v>3XB</x:v>
      </x:c>
      <x:c r="D9" s="73" t="str">
        <x:v>3XB_BO_2026-08-29.xlsx</x:v>
      </x:c>
      <x:c r="E9" s="73" t="str">
        <x:v>BO</x:v>
      </x:c>
      <x:c r="F9" s="82" t="n">
        <x:v>18227</x:v>
      </x:c>
      <x:c r="G9" s="92" t="str">
        <x:v>ไม่พบหัวตารางที่รองรับใน 30 แถวแรก</x:v>
      </x:c>
      <x:c r="H9" s="92" t="str">
        <x:v>ตรวจโครงสร้างชีตหรืออัปโหลดไฟล์ใหม่</x:v>
      </x:c>
      <x:c r="I9" s="93" t="str">
        <x:v>รอตรวจ</x:v>
      </x:c>
      <x:c r="J9" s="11"/>
      <x:c r="K9" s="11"/>
    </x:row>
    <x:row r="10" ht="48" hidden="0" customHeight="1">
      <x:c r="A10" s="72" t="n">
        <x:v>5</x:v>
      </x:c>
      <x:c r="B10" s="79" t="n">
        <x:v>46263</x:v>
      </x:c>
      <x:c r="C10" s="73" t="str">
        <x:v>3XB</x:v>
      </x:c>
      <x:c r="D10" s="73" t="str">
        <x:v>3XB_STM_KB_นราธิป_DW_2026-08-29.pdf</x:v>
      </x:c>
      <x:c r="E10" s="73" t="str">
        <x:v>STM</x:v>
      </x:c>
      <x:c r="F10" s="82" t="n">
        <x:v>297984</x:v>
      </x:c>
      <x:c r="G10" s="92" t="str">
        <x:v>อ่านหัวตารางได้แต่ไม่พบรายการ</x:v>
      </x:c>
      <x:c r="H10" s="92" t="str">
        <x:v>ตรวจ PDF/ปรับ OCR แล้วรันใหม่</x:v>
      </x:c>
      <x:c r="I10" s="93" t="str">
        <x:v>รอตรวจ</x:v>
      </x:c>
      <x:c r="J10" s="11"/>
      <x:c r="K10" s="11"/>
    </x:row>
    <x:row r="11" ht="48" hidden="0" customHeight="1">
      <x:c r="A11" s="72" t="n">
        <x:v>6</x:v>
      </x:c>
      <x:c r="B11" s="79" t="n">
        <x:v>46263</x:v>
      </x:c>
      <x:c r="C11" s="73" t="str">
        <x:v>3XB</x:v>
      </x:c>
      <x:c r="D11" s="73" t="str">
        <x:v>3XB_STM_KB_วีรยุทธ _DW_2026-08-29.pdf</x:v>
      </x:c>
      <x:c r="E11" s="73" t="str">
        <x:v>STM</x:v>
      </x:c>
      <x:c r="F11" s="82" t="n">
        <x:v>276480</x:v>
      </x:c>
      <x:c r="G11" s="92" t="str">
        <x:v>อ่านหัวตารางได้แต่ไม่พบรายการ</x:v>
      </x:c>
      <x:c r="H11" s="92" t="str">
        <x:v>ตรวจ PDF/ปรับ OCR แล้วรันใหม่</x:v>
      </x:c>
      <x:c r="I11" s="93" t="str">
        <x:v>รอตรวจ</x:v>
      </x:c>
      <x:c r="J11" s="11"/>
      <x:c r="K11" s="11"/>
    </x:row>
    <x:row r="12" ht="48" hidden="0" customHeight="1">
      <x:c r="A12" s="72" t="n">
        <x:v>7</x:v>
      </x:c>
      <x:c r="B12" s="79" t="n">
        <x:v>46263</x:v>
      </x:c>
      <x:c r="C12" s="73" t="str">
        <x:v>3XB</x:v>
      </x:c>
      <x:c r="D12" s="73" t="str">
        <x:v>3XB_STM_KB_สุพจน์ _DW_2026-08-29.pdf</x:v>
      </x:c>
      <x:c r="E12" s="73" t="str">
        <x:v>STM</x:v>
      </x:c>
      <x:c r="F12" s="82" t="n">
        <x:v>265216</x:v>
      </x:c>
      <x:c r="G12" s="92" t="str">
        <x:v>อ่านหัวตารางได้แต่ไม่พบรายการ</x:v>
      </x:c>
      <x:c r="H12" s="92" t="str">
        <x:v>ตรวจ PDF/ปรับ OCR แล้วรันใหม่</x:v>
      </x:c>
      <x:c r="I12" s="93" t="str">
        <x:v>รอตรวจ</x:v>
      </x:c>
      <x:c r="J12" s="11"/>
      <x:c r="K12" s="11"/>
    </x:row>
    <x:row r="13" ht="60" hidden="0" customHeight="1">
      <x:c r="A13" s="72" t="n">
        <x:v>8</x:v>
      </x:c>
      <x:c r="B13" s="79" t="n">
        <x:v>46263</x:v>
      </x:c>
      <x:c r="C13" s="73" t="str">
        <x:v>3XB</x:v>
      </x:c>
      <x:c r="D13" s="73" t="str">
        <x:v>3XB_STM_SCB สงกรานต์_DW_2026-08-29.pdf</x:v>
      </x:c>
      <x:c r="E13" s="73" t="str">
        <x:v>STM</x:v>
      </x:c>
      <x:c r="F13" s="82" t="n">
        <x:v>87245</x:v>
      </x:c>
      <x:c r="G13" s="92" t="str">
        <x:v>อ่านหัวตารางได้แต่ไม่พบรายการ</x:v>
      </x:c>
      <x:c r="H13" s="92" t="str">
        <x:v>ตรวจ PDF/ปรับ OCR แล้วรันใหม่</x:v>
      </x:c>
      <x:c r="I13" s="93" t="str">
        <x:v>รอตรวจ</x:v>
      </x:c>
      <x:c r="J13" s="11"/>
      <x:c r="K13" s="11"/>
    </x:row>
    <x:row r="14" ht="48" hidden="0" customHeight="1">
      <x:c r="A14" s="75" t="n">
        <x:v>9</x:v>
      </x:c>
      <x:c r="B14" s="80" t="n">
        <x:v>46263</x:v>
      </x:c>
      <x:c r="C14" s="76" t="str">
        <x:v>PS8</x:v>
      </x:c>
      <x:c r="D14" s="76" t="str">
        <x:v>PS8_PM_MYPAY24_W_2026-08-29 (1).csv</x:v>
      </x:c>
      <x:c r="E14" s="76" t="str">
        <x:v>PM ถอน</x:v>
      </x:c>
      <x:c r="F14" s="83" t="n">
        <x:v>5</x:v>
      </x:c>
      <x:c r="G14" s="94" t="str">
        <x:v>ไฟล์มีขนาด 5 ไบต์/ไม่มีข้อมูล</x:v>
      </x:c>
      <x:c r="H14" s="94" t="str">
        <x:v>ส่งไฟล์ฉบับสมบูรณ์ใหม่</x:v>
      </x:c>
      <x:c r="I14" s="95" t="str">
        <x:v>รอทีม</x:v>
      </x:c>
      <x:c r="J14" s="11"/>
      <x:c r="K14" s="11"/>
    </x:row>
  </x:sheetData>
  <x:mergeCells>
    <x:mergeCell ref="A1:I2"/>
    <x:mergeCell ref="A3:K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55" hidden="0" customWidth="1"/>
    <x:col min="3" max="3" width="52" hidden="0" customWidth="1"/>
  </x:cols>
  <x:sheetData>
    <x:row r="1" ht="15" hidden="0" customHeight="1">
      <x:c r="A1" s="96" t="str">
        <x:v>แหล่งข้อมูลและนิยาม</x:v>
      </x:c>
      <x:c r="B1" s="96"/>
      <x:c r="C1" s="96"/>
      <x:c r="D1" s="96"/>
      <x:c r="E1" s="96"/>
      <x:c r="F1" s="96"/>
      <x:c r="G1" s="11"/>
      <x:c r="H1" s="11"/>
      <x:c r="I1" s="11"/>
      <x:c r="J1" s="11"/>
      <x:c r="K1" s="11"/>
    </x:row>
    <x:row r="2" ht="15" hidden="0" customHeight="1">
      <x:c r="A2" s="96"/>
      <x:c r="B2" s="96"/>
      <x:c r="C2" s="96"/>
      <x:c r="D2" s="96"/>
      <x:c r="E2" s="96"/>
      <x:c r="F2" s="96"/>
      <x:c r="G2" s="11"/>
      <x:c r="H2" s="11"/>
      <x:c r="I2" s="11"/>
      <x:c r="J2" s="11"/>
      <x:c r="K2" s="11"/>
    </x:row>
    <x:row r="3" ht="15" hidden="0" customHeight="1">
      <x:c r="A3" s="6" t="str">
        <x:v>ใช้สำหรับตรวจสอบย้อนกลับว่าตัวเลขในรายงานมาจากส่วนใดของระบบ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</x:row>
    <x:row r="4" ht="15" hidden="0" customHeight="1">
      <x:c r="A4" s="11"/>
      <x:c r="B4" s="11"/>
      <x:c r="C4" s="11"/>
      <x:c r="D4" s="11"/>
      <x:c r="E4" s="11"/>
      <x:c r="F4" s="11"/>
      <x:c r="G4" s="11"/>
      <x:c r="H4" s="11"/>
      <x:c r="I4" s="11"/>
      <x:c r="J4" s="11"/>
      <x:c r="K4" s="11"/>
    </x:row>
    <x:row r="5" ht="15" hidden="0" customHeight="1">
      <x:c r="A5" s="98" t="str">
        <x:v>รายการ</x:v>
      </x:c>
      <x:c r="B5" s="98" t="str">
        <x:v>รายละเอียด</x:v>
      </x:c>
      <x:c r="C5" s="98" t="str">
        <x:v>แหล่งข้อมูล</x:v>
      </x:c>
      <x:c r="D5" s="11"/>
      <x:c r="E5" s="11"/>
      <x:c r="F5" s="11"/>
      <x:c r="G5" s="11"/>
      <x:c r="H5" s="11"/>
      <x:c r="I5" s="11"/>
      <x:c r="J5" s="11"/>
      <x:c r="K5" s="11"/>
    </x:row>
    <x:row r="6" ht="72" hidden="0" customHeight="1">
      <x:c r="A6" s="69" t="str">
        <x:v>Gmail</x:v>
      </x:c>
      <x:c r="B6" s="70" t="str">
        <x:v>เมลผู้ส่งที่กำหนดและหัวข้อธุรกิจวันที่ 27–29 สิงหาคม 2026</x:v>
      </x:c>
      <x:c r="C6" s="71" t="str">
        <x:v>https://mail.google.com/</x:v>
      </x:c>
      <x:c r="D6" s="11"/>
      <x:c r="E6" s="11"/>
      <x:c r="F6" s="11"/>
      <x:c r="G6" s="11"/>
      <x:c r="H6" s="11"/>
      <x:c r="I6" s="11"/>
      <x:c r="J6" s="11"/>
      <x:c r="K6" s="11"/>
    </x:row>
    <x:row r="7" ht="84" hidden="0" customHeight="1">
      <x:c r="A7" s="72" t="str">
        <x:v>Supabase</x:v>
      </x:c>
      <x:c r="B7" s="73" t="str">
        <x:v>mail_batches และ source_files ของโครงการ audit-reconciliation-control</x:v>
      </x:c>
      <x:c r="C7" s="74" t="str">
        <x:v>https://supabase.com/dashboard/project/xiglllwmdotwyrcpycao</x:v>
      </x:c>
      <x:c r="D7" s="11"/>
      <x:c r="E7" s="11"/>
      <x:c r="F7" s="11"/>
      <x:c r="G7" s="11"/>
      <x:c r="H7" s="11"/>
      <x:c r="I7" s="11"/>
      <x:c r="J7" s="11"/>
      <x:c r="K7" s="11"/>
    </x:row>
    <x:row r="8" ht="48" hidden="0" customHeight="1">
      <x:c r="A8" s="72" t="str">
        <x:v>Storage</x:v>
      </x:c>
      <x:c r="B8" s="73" t="str">
        <x:v>นับเฉพาะไฟล์ที่มี storage_path</x:v>
      </x:c>
      <x:c r="C8" s="74" t="str">
        <x:v>Supabase Storage / audit-files</x:v>
      </x:c>
      <x:c r="D8" s="11"/>
      <x:c r="E8" s="11"/>
      <x:c r="F8" s="11"/>
      <x:c r="G8" s="11"/>
      <x:c r="H8" s="11"/>
      <x:c r="I8" s="11"/>
      <x:c r="J8" s="11"/>
      <x:c r="K8" s="11"/>
    </x:row>
    <x:row r="9" ht="60" hidden="0" customHeight="1">
      <x:c r="A9" s="72" t="str">
        <x:v>ไฟล์ธุรกรรม</x:v>
      </x:c>
      <x:c r="B9" s="73" t="str">
        <x:v>ไฟล์ทั้งหมดหักไฟล์ชี้แจง</x:v>
      </x:c>
      <x:c r="C9" s="74" t="str">
        <x:v>BO, STM/PM, ฝากมือ และไฟล์ธุรกรรมอื่น</x:v>
      </x:c>
      <x:c r="D9" s="11"/>
      <x:c r="E9" s="11"/>
      <x:c r="F9" s="11"/>
      <x:c r="G9" s="11"/>
      <x:c r="H9" s="11"/>
      <x:c r="I9" s="11"/>
      <x:c r="J9" s="11"/>
      <x:c r="K9" s="11"/>
    </x:row>
    <x:row r="10" ht="60" hidden="0" customHeight="1">
      <x:c r="A10" s="75" t="str">
        <x:v>พร้อมใช้จริง</x:v>
      </x:c>
      <x:c r="B10" s="76" t="str">
        <x:v>ไฟล์ธุรกรรมหักไฟล์อ่านไม่สำเร็จและไฟล์ขนาดผิดปกติ</x:v>
      </x:c>
      <x:c r="C10" s="77" t="str">
        <x:v>ใช้เป็นฐานเริ่มกระทบยอด</x:v>
      </x:c>
      <x:c r="D10" s="11"/>
      <x:c r="E10" s="11"/>
      <x:c r="F10" s="11"/>
      <x:c r="G10" s="11"/>
      <x:c r="H10" s="11"/>
      <x:c r="I10" s="11"/>
      <x:c r="J10" s="11"/>
      <x:c r="K10" s="11"/>
    </x:row>
  </x:sheetData>
  <x:mergeCells>
    <x:mergeCell ref="A1:F2"/>
    <x:mergeCell ref="A3:K3"/>
  </x:mergeCells>
  <x:pageMargins left="0.7" right="0.7" top="0.75" bottom="0.75" header="0.3" footer="0.3"/>
</x:worksheet>
</file>