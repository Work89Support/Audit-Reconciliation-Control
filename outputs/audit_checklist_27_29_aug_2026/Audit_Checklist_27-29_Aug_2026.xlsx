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7a10617dc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ภาพรวม" sheetId="1" r:id="R1acae84e87734e94"/>
    <x:sheet xmlns:r="http://schemas.openxmlformats.org/officeDocument/2006/relationships" name="เช็กลิสต์ละเอียด" sheetId="2" r:id="Rdaa5c177d3084fff"/>
    <x:sheet xmlns:r="http://schemas.openxmlformats.org/officeDocument/2006/relationships" name="รายการต้องติดตาม" sheetId="3" r:id="R282b6fbb0e674a74"/>
    <x:sheet xmlns:r="http://schemas.openxmlformats.org/officeDocument/2006/relationships" name="นิยามประเภทไฟล์" sheetId="4" r:id="R2caa79abf373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B4F8A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0B4F8A"/>
      <x:name val="Carlito"/>
    </x:font>
    <x:font>
      <x:b/>
      <x:sz val="20"/>
      <x:color rgb="FF0B4F8A"/>
      <x:name val="Carlito"/>
    </x:font>
    <x:font>
      <x:b/>
      <x:sz val="11"/>
      <x:color rgb="FFA16207"/>
      <x:name val="Carlito"/>
    </x:font>
    <x:font>
      <x:b/>
      <x:sz val="18"/>
      <x:color rgb="FF0B4F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EAF4FF"/>
      </x:patternFill>
    </x:fill>
    <x:fill>
      <x:patternFill patternType="solid">
        <x:fgColor rgb="FFFFF7D6"/>
      </x:patternFill>
    </x:fill>
  </x:fills>
  <x:borders count="15">
    <x:border/>
    <x:border>
      <x:left style="thin">
        <x:color rgb="FFD6E2F0"/>
      </x:left>
      <x:right style="thin">
        <x:color rgb="FFD6E2F0"/>
      </x:right>
      <x:top style="thin">
        <x:color rgb="FFD6E2F0"/>
      </x:top>
      <x:bottom style="thin">
        <x:color rgb="FFD6E2F0"/>
      </x:bottom>
    </x:border>
    <x:border>
      <x:left style="thin">
        <x:color rgb="FFE4ECF5"/>
      </x:left>
      <x:right style="thin">
        <x:color rgb="FFE4ECF5"/>
      </x:right>
      <x:top style="thin">
        <x:color rgb="FFE4ECF5"/>
      </x:top>
      <x:bottom style="thin">
        <x:color rgb="FFE4ECF5"/>
      </x:bottom>
    </x:border>
    <x:border>
      <x:left style="thin">
        <x:color rgb="FFD6E2F0"/>
      </x:left>
      <x:top style="thin">
        <x:color rgb="FFD6E2F0"/>
      </x:top>
      <x:bottom style="thin">
        <x:color rgb="FFD6E2F0"/>
      </x:bottom>
    </x:border>
    <x:border>
      <x:top style="thin">
        <x:color rgb="FFD6E2F0"/>
      </x:top>
      <x:bottom style="thin">
        <x:color rgb="FFD6E2F0"/>
      </x:bottom>
    </x:border>
    <x:border>
      <x:right style="thin">
        <x:color rgb="FFD6E2F0"/>
      </x:right>
      <x:top style="thin">
        <x:color rgb="FFD6E2F0"/>
      </x:top>
      <x:bottom style="thin">
        <x:color rgb="FFD6E2F0"/>
      </x:bottom>
    </x:border>
    <x:border>
      <x:left style="thin">
        <x:color rgb="FFF4C86A"/>
      </x:left>
      <x:top style="thin">
        <x:color rgb="FFF4C86A"/>
      </x:top>
      <x:bottom style="thin">
        <x:color rgb="FFF4C86A"/>
      </x:bottom>
    </x:border>
    <x:border>
      <x:top style="thin">
        <x:color rgb="FFF4C86A"/>
      </x:top>
      <x:bottom style="thin">
        <x:color rgb="FFF4C86A"/>
      </x:bottom>
    </x:border>
    <x:border>
      <x:right style="thin">
        <x:color rgb="FFF4C86A"/>
      </x:right>
      <x:top style="thin">
        <x:color rgb="FFF4C86A"/>
      </x:top>
      <x:bottom style="thin">
        <x:color rgb="FFF4C86A"/>
      </x:bottom>
    </x:border>
    <x:border>
      <x:left style="thin">
        <x:color rgb="FFF4C86A"/>
      </x:left>
      <x:top style="thin">
        <x:color rgb="FFF4C86A"/>
      </x:top>
    </x:border>
    <x:border>
      <x:top style="thin">
        <x:color rgb="FFF4C86A"/>
      </x:top>
    </x:border>
    <x:border>
      <x:right style="thin">
        <x:color rgb="FFF4C86A"/>
      </x:right>
      <x:top style="thin">
        <x:color rgb="FFF4C86A"/>
      </x:top>
    </x:border>
    <x:border>
      <x:left style="thin">
        <x:color rgb="FFF4C86A"/>
      </x:left>
      <x:bottom style="thin">
        <x:color rgb="FFF4C86A"/>
      </x:bottom>
    </x:border>
    <x:border>
      <x:bottom style="thin">
        <x:color rgb="FFF4C86A"/>
      </x:bottom>
    </x:border>
    <x:border>
      <x:right style="thin">
        <x:color rgb="FFF4C86A"/>
      </x:right>
      <x:bottom style="thin">
        <x:color rgb="FFF4C86A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vertical="center" wrapText="1"/>
    </x:xf>
    <x:xf numFmtId="0" fontId="7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5803D"/>
      </x:font>
      <x:fill>
        <x:patternFill patternType="solid">
          <x:bgColor rgb="FFEAF8EE"/>
        </x:patternFill>
      </x:fill>
    </x:dxf>
    <x:dxf>
      <x:font>
        <x:b/>
        <x:color rgb="FFA16207"/>
      </x:font>
      <x:fill>
        <x:patternFill patternType="solid">
          <x:bgColor rgb="FFFFF7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5803D"/>
      </x:font>
      <x:fill>
        <x:patternFill patternType="solid">
          <x:bgColor rgb="FFEAF8EE"/>
        </x:patternFill>
      </x:fill>
    </x:dxf>
    <x:dxf>
      <x:font>
        <x:color rgb="FFA16207"/>
      </x:font>
      <x:fill>
        <x:patternFill patternType="solid">
          <x:bgColor rgb="FFFFF7D6"/>
        </x:patternFill>
      </x:fill>
    </x:dxf>
    <x:dxf>
      <x:font>
        <x:b/>
        <x:color rgb="FF15803D"/>
      </x:font>
      <x:fill>
        <x:patternFill patternType="solid">
          <x:bgColor rgb="FFEAF8EE"/>
        </x:patternFill>
      </x:fill>
    </x:dxf>
    <x:dxf>
      <x:font>
        <x:b/>
        <x:color rgb="FFA16207"/>
      </x:font>
      <x:fill>
        <x:patternFill patternType="solid">
          <x:bgColor rgb="FFFFF7D6"/>
        </x:patternFill>
      </x:fill>
    </x:dxf>
    <x:dxf>
      <x:font>
        <x:color rgb="FFA16207"/>
      </x:font>
      <x:fill>
        <x:patternFill patternType="solid">
          <x:bgColor rgb="FFFFF7D6"/>
        </x:patternFill>
      </x:fill>
    </x:dxf>
    <x:dxf>
      <x:font>
        <x:color rgb="FF15803D"/>
      </x:font>
      <x:fill>
        <x:patternFill patternType="solid">
          <x:bgColor rgb="FFEAF8EE"/>
        </x:patternFill>
      </x:fill>
    </x:dxf>
    <x:dxf>
      <x:font>
        <x:color rgb="FF0B4F8A"/>
      </x:font>
      <x:fill>
        <x:patternFill patternType="solid">
          <x:bgColor rgb="FFEAF4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54fc64b794bda" /><Relationship Type="http://schemas.openxmlformats.org/officeDocument/2006/relationships/theme" Target="/xl/theme/theme1.xml" Id="Rd04464cc88c64a98" /><Relationship Type="http://schemas.openxmlformats.org/officeDocument/2006/relationships/sharedStrings" Target="/xl/sharedStrings.xml" Id="Rc4f30e2617244aeb" /><Relationship Type="http://schemas.openxmlformats.org/officeDocument/2006/relationships/worksheet" Target="/xl/worksheets/sheet1.xml" Id="R1acae84e87734e94" /><Relationship Type="http://schemas.openxmlformats.org/officeDocument/2006/relationships/worksheet" Target="/xl/worksheets/sheet2.xml" Id="Rdaa5c177d3084fff" /><Relationship Type="http://schemas.openxmlformats.org/officeDocument/2006/relationships/worksheet" Target="/xl/worksheets/sheet3.xml" Id="R282b6fbb0e674a74" /><Relationship Type="http://schemas.openxmlformats.org/officeDocument/2006/relationships/worksheet" Target="/xl/worksheets/sheet4.xml" Id="R2caa79abf37344bb" /></Relationships>
</file>

<file path=xl/tables/table1.xml><?xml version="1.0" encoding="utf-8"?>
<x:table xmlns:x="http://schemas.openxmlformats.org/spreadsheetml/2006/main" id="1" name="AuditChecklistTable" displayName="AuditChecklistTable" ref="A4:M31" headerRowCount="1" totalsRowCount="0" totalsRowShown="0">
  <x:autoFilter ref="A4:M31"/>
  <x:tableColumns count="13">
    <x:tableColumn id="1" name="วันที่"/>
    <x:tableColumn id="2" name="บริษัท"/>
    <x:tableColumn id="3" name="BO"/>
    <x:tableColumn id="4" name="PM ฝาก/ถอน"/>
    <x:tableColumn id="5" name="STM"/>
    <x:tableColumn id="6" name="ฝากมือ/ประกอบ"/>
    <x:tableColumn id="7" name="ไฟล์ชี้แจง"/>
    <x:tableColumn id="8" name="ไฟล์ที่ได้รับ"/>
    <x:tableColumn id="9" name="ใช้กระทบยอด"/>
    <x:tableColumn id="10" name="สถานะระบบ"/>
    <x:tableColumn id="11" name="ปัญหาที่พบ"/>
    <x:tableColumn id="12" name="สิ่งที่ต้องทำ"/>
    <x:tableColumn id="13" name="สถานะที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1b7b4648954e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42" hidden="0" customWidth="1"/>
  </x:cols>
  <x:sheetData>
    <x:row r="1" ht="38" customHeight="1">
      <x:c r="A1" s="26" t="str">
        <x:v>สรุปความครบถ้วนไฟล์ Audit · 3 วัน</x:v>
      </x:c>
      <x:c r="B1" s="26"/>
      <x:c r="C1" s="26"/>
      <x:c r="D1" s="26"/>
      <x:c r="E1" s="26"/>
      <x:c r="F1" s="26"/>
      <x:c r="G1" s="26"/>
      <x:c r="H1" s="26"/>
    </x:row>
    <x:row r="2" ht="25" customHeight="1">
      <x:c r="A2" s="6" t="str">
        <x:v>วันที่ 27–29 สิงหาคม 2026 · 9 บริษัทจริง · ไม่รวม DW</x:v>
      </x:c>
      <x:c r="B2" s="6"/>
      <x:c r="C2" s="6"/>
      <x:c r="D2" s="6"/>
      <x:c r="E2" s="6"/>
      <x:c r="F2" s="6"/>
      <x:c r="G2" s="6"/>
      <x:c r="H2" s="6"/>
    </x:row>
    <x:row r="4">
      <x:c r="A4" s="30" t="str">
        <x:v>บริษัททั้งหมด</x:v>
      </x:c>
      <x:c r="B4" s="30" t="str"/>
      <x:c r="C4" s="30" t="str">
        <x:v>รายการบริษัท/วันที่ครบ</x:v>
      </x:c>
      <x:c r="D4" s="30" t="str"/>
      <x:c r="E4" s="30" t="str">
        <x:v>รอไฟล์</x:v>
      </x:c>
      <x:c r="F4" s="30" t="str"/>
      <x:c r="G4" s="30" t="str">
        <x:v>ต้องแก้ไฟล์</x:v>
      </x:c>
      <x:c r="H4" s="30" t="str"/>
    </x:row>
    <x:row r="5" ht="34" customHeight="1">
      <x:c r="A5" s="35" t="n">
        <x:f>COUNTA(A9:A17)</x:f>
        <x:v>9</x:v>
      </x:c>
      <x:c r="B5" s="36"/>
      <x:c r="C5" s="36" t="n">
        <x:f>COUNTIF('เช็กลิสต์ละเอียด'!$J$5:$J$31,"ครบ")</x:f>
        <x:v>23</x:v>
      </x:c>
      <x:c r="D5" s="36"/>
      <x:c r="E5" s="36" t="n">
        <x:f>COUNTIF('เช็กลิสต์ละเอียด'!$J$5:$J$31,"รอไฟล์")</x:f>
        <x:v>3</x:v>
      </x:c>
      <x:c r="F5" s="36"/>
      <x:c r="G5" s="36" t="n">
        <x:f>COUNTIF('เช็กลิสต์ละเอียด'!$J$5:$J$31,"ต้องแก้ไฟล์")</x:f>
        <x:v>1</x:v>
      </x:c>
      <x:c r="H5" s="37"/>
    </x:row>
    <x:row r="8">
      <x:c r="A8" s="10" t="str">
        <x:v>บริษัท</x:v>
      </x:c>
      <x:c r="B8" s="10" t="str">
        <x:v>รวมไฟล์ 3 วัน</x:v>
      </x:c>
      <x:c r="C8" s="10" t="str">
        <x:v>27 ส.ค.</x:v>
      </x:c>
      <x:c r="D8" s="10" t="str">
        <x:v>28 ส.ค.</x:v>
      </x:c>
      <x:c r="E8" s="10" t="str">
        <x:v>29 ส.ค.</x:v>
      </x:c>
      <x:c r="F8" s="10" t="str">
        <x:v>วันที่ครบ</x:v>
      </x:c>
      <x:c r="G8" s="10" t="str">
        <x:v>สถานะรวม</x:v>
      </x:c>
      <x:c r="H8" s="10" t="str">
        <x:v>สิ่งที่ต้องติดตาม</x:v>
      </x:c>
    </x:row>
    <x:row r="9" ht="31" customHeight="1">
      <x:c r="A9" s="23" t="str">
        <x:v>3XB</x:v>
      </x:c>
      <x:c r="B9" s="24" t="n">
        <x:f>SUMIF('เช็กลิสต์ละเอียด'!$B$5:$B$31,A9,'เช็กลิสต์ละเอียด'!$H$5:$H$31)</x:f>
        <x:v>37</x:v>
      </x:c>
      <x:c r="C9" s="24" t="n">
        <x:f>SUMIFS('เช็กลิสต์ละเอียด'!$H$5:$H$31,'เช็กลิสต์ละเอียด'!$B$5:$B$31,A9,'เช็กลิสต์ละเอียด'!$A$5:$A$31,DATE(2026,8,27))</x:f>
        <x:v>15</x:v>
      </x:c>
      <x:c r="D9" s="24" t="n">
        <x:f>SUMIFS('เช็กลิสต์ละเอียด'!$H$5:$H$31,'เช็กลิสต์ละเอียด'!$B$5:$B$31,A9,'เช็กลิสต์ละเอียด'!$A$5:$A$31,DATE(2026,8,28))</x:f>
        <x:v>13</x:v>
      </x:c>
      <x:c r="E9" s="24" t="n">
        <x:f>SUMIFS('เช็กลิสต์ละเอียด'!$H$5:$H$31,'เช็กลิสต์ละเอียด'!$B$5:$B$31,A9,'เช็กลิสต์ละเอียด'!$A$5:$A$31,DATE(2026,8,29))</x:f>
        <x:v>9</x:v>
      </x:c>
      <x:c r="F9" s="24" t="n">
        <x:f>COUNTIFS('เช็กลิสต์ละเอียด'!$B$5:$B$31,A9,'เช็กลิสต์ละเอียด'!$J$5:$J$31,"ครบ")</x:f>
        <x:v>2</x:v>
      </x:c>
      <x:c r="G9" s="23" t="str">
        <x:f>IF(F9=3,"ครบ 3 วัน","ต้องติดตาม")</x:f>
        <x:v>ต้องติดตาม</x:v>
      </x:c>
      <x:c r="H9" s="20" t="str">
        <x:v>ตาม STM วันที่ 29 ส.ค.</x:v>
      </x:c>
    </x:row>
    <x:row r="10" ht="31" customHeight="1">
      <x:c r="A10" s="23" t="str">
        <x:v>AT4</x:v>
      </x:c>
      <x:c r="B10" s="24" t="n">
        <x:f>SUMIF('เช็กลิสต์ละเอียด'!$B$5:$B$31,A10,'เช็กลิสต์ละเอียด'!$H$5:$H$31)</x:f>
        <x:v>38</x:v>
      </x:c>
      <x:c r="C10" s="24" t="n">
        <x:f>SUMIFS('เช็กลิสต์ละเอียด'!$H$5:$H$31,'เช็กลิสต์ละเอียด'!$B$5:$B$31,A10,'เช็กลิสต์ละเอียด'!$A$5:$A$31,DATE(2026,8,27))</x:f>
        <x:v>15</x:v>
      </x:c>
      <x:c r="D10" s="24" t="n">
        <x:f>SUMIFS('เช็กลิสต์ละเอียด'!$H$5:$H$31,'เช็กลิสต์ละเอียด'!$B$5:$B$31,A10,'เช็กลิสต์ละเอียด'!$A$5:$A$31,DATE(2026,8,28))</x:f>
        <x:v>13</x:v>
      </x:c>
      <x:c r="E10" s="24" t="n">
        <x:f>SUMIFS('เช็กลิสต์ละเอียด'!$H$5:$H$31,'เช็กลิสต์ละเอียด'!$B$5:$B$31,A10,'เช็กลิสต์ละเอียด'!$A$5:$A$31,DATE(2026,8,29))</x:f>
        <x:v>10</x:v>
      </x:c>
      <x:c r="F10" s="24" t="n">
        <x:f>COUNTIFS('เช็กลิสต์ละเอียด'!$B$5:$B$31,A10,'เช็กลิสต์ละเอียด'!$J$5:$J$31,"ครบ")</x:f>
        <x:v>2</x:v>
      </x:c>
      <x:c r="G10" s="23" t="str">
        <x:f>IF(F10=3,"ครบ 3 วัน","ต้องติดตาม")</x:f>
        <x:v>ต้องติดตาม</x:v>
      </x:c>
      <x:c r="H10" s="20" t="str">
        <x:v>ตาม STM วันที่ 29 ส.ค.</x:v>
      </x:c>
    </x:row>
    <x:row r="11" ht="31" customHeight="1">
      <x:c r="A11" s="23" t="str">
        <x:v>FR8</x:v>
      </x:c>
      <x:c r="B11" s="24" t="n">
        <x:f>SUMIF('เช็กลิสต์ละเอียด'!$B$5:$B$31,A11,'เช็กลิสต์ละเอียด'!$H$5:$H$31)</x:f>
        <x:v>50</x:v>
      </x:c>
      <x:c r="C11" s="24" t="n">
        <x:f>SUMIFS('เช็กลิสต์ละเอียด'!$H$5:$H$31,'เช็กลิสต์ละเอียด'!$B$5:$B$31,A11,'เช็กลิสต์ละเอียด'!$A$5:$A$31,DATE(2026,8,27))</x:f>
        <x:v>14</x:v>
      </x:c>
      <x:c r="D11" s="24" t="n">
        <x:f>SUMIFS('เช็กลิสต์ละเอียด'!$H$5:$H$31,'เช็กลิสต์ละเอียด'!$B$5:$B$31,A11,'เช็กลิสต์ละเอียด'!$A$5:$A$31,DATE(2026,8,28))</x:f>
        <x:v>16</x:v>
      </x:c>
      <x:c r="E11" s="24" t="n">
        <x:f>SUMIFS('เช็กลิสต์ละเอียด'!$H$5:$H$31,'เช็กลิสต์ละเอียด'!$B$5:$B$31,A11,'เช็กลิสต์ละเอียด'!$A$5:$A$31,DATE(2026,8,29))</x:f>
        <x:v>20</x:v>
      </x:c>
      <x:c r="F11" s="24" t="n">
        <x:f>COUNTIFS('เช็กลิสต์ละเอียด'!$B$5:$B$31,A11,'เช็กลิสต์ละเอียด'!$J$5:$J$31,"ครบ")</x:f>
        <x:v>2</x:v>
      </x:c>
      <x:c r="G11" s="23" t="str">
        <x:f>IF(F11=3,"ครบ 3 วัน","ต้องติดตาม")</x:f>
        <x:v>ต้องติดตาม</x:v>
      </x:c>
      <x:c r="H11" s="20" t="str">
        <x:v>แทนที่ไฟล์ฝากมือ Payment วันที่ 27 ส.ค.</x:v>
      </x:c>
    </x:row>
    <x:row r="12" ht="31" customHeight="1">
      <x:c r="A12" s="23" t="str">
        <x:v>MC8</x:v>
      </x:c>
      <x:c r="B12" s="24" t="n">
        <x:f>SUMIF('เช็กลิสต์ละเอียด'!$B$5:$B$31,A12,'เช็กลิสต์ละเอียด'!$H$5:$H$31)</x:f>
        <x:v>29</x:v>
      </x:c>
      <x:c r="C12" s="24" t="n">
        <x:f>SUMIFS('เช็กลิสต์ละเอียด'!$H$5:$H$31,'เช็กลิสต์ละเอียด'!$B$5:$B$31,A12,'เช็กลิสต์ละเอียด'!$A$5:$A$31,DATE(2026,8,27))</x:f>
        <x:v>8</x:v>
      </x:c>
      <x:c r="D12" s="24" t="n">
        <x:f>SUMIFS('เช็กลิสต์ละเอียด'!$H$5:$H$31,'เช็กลิสต์ละเอียด'!$B$5:$B$31,A12,'เช็กลิสต์ละเอียด'!$A$5:$A$31,DATE(2026,8,28))</x:f>
        <x:v>10</x:v>
      </x:c>
      <x:c r="E12" s="24" t="n">
        <x:f>SUMIFS('เช็กลิสต์ละเอียด'!$H$5:$H$31,'เช็กลิสต์ละเอียด'!$B$5:$B$31,A12,'เช็กลิสต์ละเอียด'!$A$5:$A$31,DATE(2026,8,29))</x:f>
        <x:v>11</x:v>
      </x:c>
      <x:c r="F12" s="24" t="n">
        <x:f>COUNTIFS('เช็กลิสต์ละเอียด'!$B$5:$B$31,A12,'เช็กลิสต์ละเอียด'!$J$5:$J$31,"ครบ")</x:f>
        <x:v>3</x:v>
      </x:c>
      <x:c r="G12" s="23" t="str">
        <x:f>IF(F12=3,"ครบ 3 วัน","ต้องติดตาม")</x:f>
        <x:v>ครบ 3 วัน</x:v>
      </x:c>
      <x:c r="H12" s="20" t="str">
        <x:v>-</x:v>
      </x:c>
    </x:row>
    <x:row r="13" ht="31" customHeight="1">
      <x:c r="A13" s="23" t="str">
        <x:v>MR9</x:v>
      </x:c>
      <x:c r="B13" s="24" t="n">
        <x:f>SUMIF('เช็กลิสต์ละเอียด'!$B$5:$B$31,A13,'เช็กลิสต์ละเอียด'!$H$5:$H$31)</x:f>
        <x:v>37</x:v>
      </x:c>
      <x:c r="C13" s="24" t="n">
        <x:f>SUMIFS('เช็กลิสต์ละเอียด'!$H$5:$H$31,'เช็กลิสต์ละเอียด'!$B$5:$B$31,A13,'เช็กลิสต์ละเอียด'!$A$5:$A$31,DATE(2026,8,27))</x:f>
        <x:v>11</x:v>
      </x:c>
      <x:c r="D13" s="24" t="n">
        <x:f>SUMIFS('เช็กลิสต์ละเอียด'!$H$5:$H$31,'เช็กลิสต์ละเอียด'!$B$5:$B$31,A13,'เช็กลิสต์ละเอียด'!$A$5:$A$31,DATE(2026,8,28))</x:f>
        <x:v>10</x:v>
      </x:c>
      <x:c r="E13" s="24" t="n">
        <x:f>SUMIFS('เช็กลิสต์ละเอียด'!$H$5:$H$31,'เช็กลิสต์ละเอียด'!$B$5:$B$31,A13,'เช็กลิสต์ละเอียด'!$A$5:$A$31,DATE(2026,8,29))</x:f>
        <x:v>16</x:v>
      </x:c>
      <x:c r="F13" s="24" t="n">
        <x:f>COUNTIFS('เช็กลิสต์ละเอียด'!$B$5:$B$31,A13,'เช็กลิสต์ละเอียด'!$J$5:$J$31,"ครบ")</x:f>
        <x:v>3</x:v>
      </x:c>
      <x:c r="G13" s="23" t="str">
        <x:f>IF(F13=3,"ครบ 3 วัน","ต้องติดตาม")</x:f>
        <x:v>ครบ 3 วัน</x:v>
      </x:c>
      <x:c r="H13" s="20" t="str">
        <x:v>-</x:v>
      </x:c>
    </x:row>
    <x:row r="14" ht="31" customHeight="1">
      <x:c r="A14" s="23" t="str">
        <x:v>PS8</x:v>
      </x:c>
      <x:c r="B14" s="24" t="n">
        <x:f>SUMIF('เช็กลิสต์ละเอียด'!$B$5:$B$31,A14,'เช็กลิสต์ละเอียด'!$H$5:$H$31)</x:f>
        <x:v>33</x:v>
      </x:c>
      <x:c r="C14" s="24" t="n">
        <x:f>SUMIFS('เช็กลิสต์ละเอียด'!$H$5:$H$31,'เช็กลิสต์ละเอียด'!$B$5:$B$31,A14,'เช็กลิสต์ละเอียด'!$A$5:$A$31,DATE(2026,8,27))</x:f>
        <x:v>11</x:v>
      </x:c>
      <x:c r="D14" s="24" t="n">
        <x:f>SUMIFS('เช็กลิสต์ละเอียด'!$H$5:$H$31,'เช็กลิสต์ละเอียด'!$B$5:$B$31,A14,'เช็กลิสต์ละเอียด'!$A$5:$A$31,DATE(2026,8,28))</x:f>
        <x:v>11</x:v>
      </x:c>
      <x:c r="E14" s="24" t="n">
        <x:f>SUMIFS('เช็กลิสต์ละเอียด'!$H$5:$H$31,'เช็กลิสต์ละเอียด'!$B$5:$B$31,A14,'เช็กลิสต์ละเอียด'!$A$5:$A$31,DATE(2026,8,29))</x:f>
        <x:v>11</x:v>
      </x:c>
      <x:c r="F14" s="24" t="n">
        <x:f>COUNTIFS('เช็กลิสต์ละเอียด'!$B$5:$B$31,A14,'เช็กลิสต์ละเอียด'!$J$5:$J$31,"ครบ")</x:f>
        <x:v>3</x:v>
      </x:c>
      <x:c r="G14" s="23" t="str">
        <x:f>IF(F14=3,"ครบ 3 วัน","ต้องติดตาม")</x:f>
        <x:v>ครบ 3 วัน</x:v>
      </x:c>
      <x:c r="H14" s="20" t="str">
        <x:v>-</x:v>
      </x:c>
    </x:row>
    <x:row r="15" ht="31" customHeight="1">
      <x:c r="A15" s="23" t="str">
        <x:v>SK8</x:v>
      </x:c>
      <x:c r="B15" s="24" t="n">
        <x:f>SUMIF('เช็กลิสต์ละเอียด'!$B$5:$B$31,A15,'เช็กลิสต์ละเอียด'!$H$5:$H$31)</x:f>
        <x:v>41</x:v>
      </x:c>
      <x:c r="C15" s="24" t="n">
        <x:f>SUMIFS('เช็กลิสต์ละเอียด'!$H$5:$H$31,'เช็กลิสต์ละเอียด'!$B$5:$B$31,A15,'เช็กลิสต์ละเอียด'!$A$5:$A$31,DATE(2026,8,27))</x:f>
        <x:v>18</x:v>
      </x:c>
      <x:c r="D15" s="24" t="n">
        <x:f>SUMIFS('เช็กลิสต์ละเอียด'!$H$5:$H$31,'เช็กลิสต์ละเอียด'!$B$5:$B$31,A15,'เช็กลิสต์ละเอียด'!$A$5:$A$31,DATE(2026,8,28))</x:f>
        <x:v>12</x:v>
      </x:c>
      <x:c r="E15" s="24" t="n">
        <x:f>SUMIFS('เช็กลิสต์ละเอียด'!$H$5:$H$31,'เช็กลิสต์ละเอียด'!$B$5:$B$31,A15,'เช็กลิสต์ละเอียด'!$A$5:$A$31,DATE(2026,8,29))</x:f>
        <x:v>11</x:v>
      </x:c>
      <x:c r="F15" s="24" t="n">
        <x:f>COUNTIFS('เช็กลิสต์ละเอียด'!$B$5:$B$31,A15,'เช็กลิสต์ละเอียด'!$J$5:$J$31,"ครบ")</x:f>
        <x:v>2</x:v>
      </x:c>
      <x:c r="G15" s="23" t="str">
        <x:f>IF(F15=3,"ครบ 3 วัน","ต้องติดตาม")</x:f>
        <x:v>ต้องติดตาม</x:v>
      </x:c>
      <x:c r="H15" s="20" t="str">
        <x:v>ตาม STM วันที่ 29 ส.ค.</x:v>
      </x:c>
    </x:row>
    <x:row r="16" ht="31" customHeight="1">
      <x:c r="A16" s="23" t="str">
        <x:v>UFABET7M</x:v>
      </x:c>
      <x:c r="B16" s="24" t="n">
        <x:f>SUMIF('เช็กลิสต์ละเอียด'!$B$5:$B$31,A16,'เช็กลิสต์ละเอียด'!$H$5:$H$31)</x:f>
        <x:v>24</x:v>
      </x:c>
      <x:c r="C16" s="24" t="n">
        <x:f>SUMIFS('เช็กลิสต์ละเอียด'!$H$5:$H$31,'เช็กลิสต์ละเอียด'!$B$5:$B$31,A16,'เช็กลิสต์ละเอียด'!$A$5:$A$31,DATE(2026,8,27))</x:f>
        <x:v>7</x:v>
      </x:c>
      <x:c r="D16" s="24" t="n">
        <x:f>SUMIFS('เช็กลิสต์ละเอียด'!$H$5:$H$31,'เช็กลิสต์ละเอียด'!$B$5:$B$31,A16,'เช็กลิสต์ละเอียด'!$A$5:$A$31,DATE(2026,8,28))</x:f>
        <x:v>7</x:v>
      </x:c>
      <x:c r="E16" s="24" t="n">
        <x:f>SUMIFS('เช็กลิสต์ละเอียด'!$H$5:$H$31,'เช็กลิสต์ละเอียด'!$B$5:$B$31,A16,'เช็กลิสต์ละเอียด'!$A$5:$A$31,DATE(2026,8,29))</x:f>
        <x:v>10</x:v>
      </x:c>
      <x:c r="F16" s="24" t="n">
        <x:f>COUNTIFS('เช็กลิสต์ละเอียด'!$B$5:$B$31,A16,'เช็กลิสต์ละเอียด'!$J$5:$J$31,"ครบ")</x:f>
        <x:v>3</x:v>
      </x:c>
      <x:c r="G16" s="23" t="str">
        <x:f>IF(F16=3,"ครบ 3 วัน","ต้องติดตาม")</x:f>
        <x:v>ครบ 3 วัน</x:v>
      </x:c>
      <x:c r="H16" s="20" t="str">
        <x:v>-</x:v>
      </x:c>
    </x:row>
    <x:row r="17" ht="31" customHeight="1">
      <x:c r="A17" s="23" t="str">
        <x:v>UR9</x:v>
      </x:c>
      <x:c r="B17" s="24" t="n">
        <x:f>SUMIF('เช็กลิสต์ละเอียด'!$B$5:$B$31,A17,'เช็กลิสต์ละเอียด'!$H$5:$H$31)</x:f>
        <x:v>33</x:v>
      </x:c>
      <x:c r="C17" s="24" t="n">
        <x:f>SUMIFS('เช็กลิสต์ละเอียด'!$H$5:$H$31,'เช็กลิสต์ละเอียด'!$B$5:$B$31,A17,'เช็กลิสต์ละเอียด'!$A$5:$A$31,DATE(2026,8,27))</x:f>
        <x:v>11</x:v>
      </x:c>
      <x:c r="D17" s="24" t="n">
        <x:f>SUMIFS('เช็กลิสต์ละเอียด'!$H$5:$H$31,'เช็กลิสต์ละเอียด'!$B$5:$B$31,A17,'เช็กลิสต์ละเอียด'!$A$5:$A$31,DATE(2026,8,28))</x:f>
        <x:v>11</x:v>
      </x:c>
      <x:c r="E17" s="24" t="n">
        <x:f>SUMIFS('เช็กลิสต์ละเอียด'!$H$5:$H$31,'เช็กลิสต์ละเอียด'!$B$5:$B$31,A17,'เช็กลิสต์ละเอียด'!$A$5:$A$31,DATE(2026,8,29))</x:f>
        <x:v>11</x:v>
      </x:c>
      <x:c r="F17" s="24" t="n">
        <x:f>COUNTIFS('เช็กลิสต์ละเอียด'!$B$5:$B$31,A17,'เช็กลิสต์ละเอียด'!$J$5:$J$31,"ครบ")</x:f>
        <x:v>3</x:v>
      </x:c>
      <x:c r="G17" s="23" t="str">
        <x:f>IF(F17=3,"ครบ 3 วัน","ต้องติดตาม")</x:f>
        <x:v>ครบ 3 วัน</x:v>
      </x:c>
      <x:c r="H17" s="20" t="str">
        <x:v>-</x:v>
      </x:c>
    </x:row>
    <x:row r="20" ht="32" customHeight="1">
      <x:c r="A20" s="43" t="str">
        <x:v>ข้อกำหนดสำคัญ: DW = Deposit + Withdraw ในชื่อไฟล์ ไม่ใช่บริษัท และต้องไม่ปรากฏในรายการรอไฟล์</x:v>
      </x:c>
      <x:c r="B20" s="44"/>
      <x:c r="C20" s="44"/>
      <x:c r="D20" s="44"/>
      <x:c r="E20" s="44"/>
      <x:c r="F20" s="44"/>
      <x:c r="G20" s="44"/>
      <x:c r="H20" s="45"/>
    </x:row>
  </x:sheetData>
  <x:mergeCells>
    <x:mergeCell ref="A1:H1"/>
    <x:mergeCell ref="A2:H2"/>
    <x:mergeCell ref="A20:H20"/>
  </x:mergeCells>
  <x:conditionalFormatting sqref="G9:G17">
    <x:cfRule type="containsText" dxfId="6" priority="1" operator="containsText" text="ครบ 3 วัน"/>
    <x:cfRule type="containsText" dxfId="7" priority="2" operator="containsText" text="ต้องติดตาม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6" hidden="0" customWidth="1"/>
    <x:col min="5" max="5" width="10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29" hidden="0" customWidth="1"/>
    <x:col min="12" max="12" width="35" hidden="0" customWidth="1"/>
    <x:col min="13" max="13" width="16" hidden="0" customWidth="1"/>
  </x:cols>
  <x:sheetData>
    <x:row r="1" ht="34" customHeight="1">
      <x:c r="A1" s="3" t="str">
        <x:v>เช็กลิสต์ไฟล์ Audit รายบริษัท · 27–29 สิงหาคม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6" t="str">
        <x:v>กรองตามวันที่ บริษัท ประเภทไฟล์ และสถานะได้ทันที · DW เป็นรหัสฝาก+ถอน ไม่ใช่บริษัท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8" customHeight="1">
      <x:c r="A4" s="10" t="str">
        <x:v>วันที่</x:v>
      </x:c>
      <x:c r="B4" s="10" t="str">
        <x:v>บริษัท</x:v>
      </x:c>
      <x:c r="C4" s="10" t="str">
        <x:v>BO</x:v>
      </x:c>
      <x:c r="D4" s="10" t="str">
        <x:v>PM ฝาก/ถอน</x:v>
      </x:c>
      <x:c r="E4" s="10" t="str">
        <x:v>STM</x:v>
      </x:c>
      <x:c r="F4" s="10" t="str">
        <x:v>ฝากมือ/ประกอบ</x:v>
      </x:c>
      <x:c r="G4" s="10" t="str">
        <x:v>ไฟล์ชี้แจง</x:v>
      </x:c>
      <x:c r="H4" s="10" t="str">
        <x:v>ไฟล์ที่ได้รับ</x:v>
      </x:c>
      <x:c r="I4" s="10" t="str">
        <x:v>ใช้กระทบยอด</x:v>
      </x:c>
      <x:c r="J4" s="10" t="str">
        <x:v>สถานะระบบ</x:v>
      </x:c>
      <x:c r="K4" s="10" t="str">
        <x:v>ปัญหาที่พบ</x:v>
      </x:c>
      <x:c r="L4" s="10" t="str">
        <x:v>สิ่งที่ต้องทำ</x:v>
      </x:c>
      <x:c r="M4" s="10" t="str">
        <x:v>สถานะทีม</x:v>
      </x:c>
    </x:row>
    <x:row r="5" ht="28" customHeight="1">
      <x:c r="A5" s="22" t="n">
        <x:v>46261</x:v>
      </x:c>
      <x:c r="B5" s="23" t="str">
        <x:v>3XB</x:v>
      </x:c>
      <x:c r="C5" s="23" t="str">
        <x:v>มี</x:v>
      </x:c>
      <x:c r="D5" s="23" t="str">
        <x:v>มี</x:v>
      </x:c>
      <x:c r="E5" s="23" t="str">
        <x:v>มี</x:v>
      </x:c>
      <x:c r="F5" s="23" t="str">
        <x:v>-</x:v>
      </x:c>
      <x:c r="G5" s="24" t="n">
        <x:v>0</x:v>
      </x:c>
      <x:c r="H5" s="24" t="n">
        <x:v>15</x:v>
      </x:c>
      <x:c r="I5" s="24" t="n">
        <x:v>15</x:v>
      </x:c>
      <x:c r="J5" s="23" t="str">
        <x:v>ครบ</x:v>
      </x:c>
      <x:c r="K5" s="20" t="str"/>
      <x:c r="L5" s="20" t="str"/>
      <x:c r="M5" s="20" t="str">
        <x:v>ปิดงาน</x:v>
      </x:c>
    </x:row>
    <x:row r="6" ht="28" customHeight="1">
      <x:c r="A6" s="22" t="n">
        <x:v>46262</x:v>
      </x:c>
      <x:c r="B6" s="23" t="str">
        <x:v>3XB</x:v>
      </x:c>
      <x:c r="C6" s="23" t="str">
        <x:v>มี</x:v>
      </x:c>
      <x:c r="D6" s="23" t="str">
        <x:v>มี</x:v>
      </x:c>
      <x:c r="E6" s="23" t="str">
        <x:v>มี</x:v>
      </x:c>
      <x:c r="F6" s="23" t="str">
        <x:v>-</x:v>
      </x:c>
      <x:c r="G6" s="24" t="n">
        <x:v>0</x:v>
      </x:c>
      <x:c r="H6" s="24" t="n">
        <x:v>13</x:v>
      </x:c>
      <x:c r="I6" s="24" t="n">
        <x:v>13</x:v>
      </x:c>
      <x:c r="J6" s="23" t="str">
        <x:v>ครบ</x:v>
      </x:c>
      <x:c r="K6" s="20" t="str"/>
      <x:c r="L6" s="20" t="str"/>
      <x:c r="M6" s="20" t="str">
        <x:v>ปิดงาน</x:v>
      </x:c>
    </x:row>
    <x:row r="7" ht="28" customHeight="1">
      <x:c r="A7" s="22" t="n">
        <x:v>46263</x:v>
      </x:c>
      <x:c r="B7" s="23" t="str">
        <x:v>3XB</x:v>
      </x:c>
      <x:c r="C7" s="23" t="str">
        <x:v>มี</x:v>
      </x:c>
      <x:c r="D7" s="23" t="str">
        <x:v>มี</x:v>
      </x:c>
      <x:c r="E7" s="23" t="str">
        <x:v>ขาด</x:v>
      </x:c>
      <x:c r="F7" s="23" t="str">
        <x:v>-</x:v>
      </x:c>
      <x:c r="G7" s="24" t="n">
        <x:v>0</x:v>
      </x:c>
      <x:c r="H7" s="24" t="n">
        <x:v>9</x:v>
      </x:c>
      <x:c r="I7" s="24" t="n">
        <x:v>9</x:v>
      </x:c>
      <x:c r="J7" s="23" t="str">
        <x:v>รอไฟล์</x:v>
      </x:c>
      <x:c r="K7" s="20" t="str">
        <x:v>ขาด STM</x:v>
      </x:c>
      <x:c r="L7" s="20" t="str">
        <x:v>ตาม STM แล้วรันกระทบยอดใหม่</x:v>
      </x:c>
      <x:c r="M7" s="20" t="str">
        <x:v>ยังไม่เริ่ม</x:v>
      </x:c>
    </x:row>
    <x:row r="8" ht="28" customHeight="1">
      <x:c r="A8" s="22" t="n">
        <x:v>46261</x:v>
      </x:c>
      <x:c r="B8" s="23" t="str">
        <x:v>AT4</x:v>
      </x:c>
      <x:c r="C8" s="23" t="str">
        <x:v>มี</x:v>
      </x:c>
      <x:c r="D8" s="23" t="str">
        <x:v>มี</x:v>
      </x:c>
      <x:c r="E8" s="23" t="str">
        <x:v>มี</x:v>
      </x:c>
      <x:c r="F8" s="23" t="str">
        <x:v>มี</x:v>
      </x:c>
      <x:c r="G8" s="24" t="n">
        <x:v>0</x:v>
      </x:c>
      <x:c r="H8" s="24" t="n">
        <x:v>15</x:v>
      </x:c>
      <x:c r="I8" s="24" t="n">
        <x:v>15</x:v>
      </x:c>
      <x:c r="J8" s="23" t="str">
        <x:v>ครบ</x:v>
      </x:c>
      <x:c r="K8" s="20" t="str"/>
      <x:c r="L8" s="20" t="str"/>
      <x:c r="M8" s="20" t="str">
        <x:v>ปิดงาน</x:v>
      </x:c>
    </x:row>
    <x:row r="9" ht="28" customHeight="1">
      <x:c r="A9" s="22" t="n">
        <x:v>46262</x:v>
      </x:c>
      <x:c r="B9" s="23" t="str">
        <x:v>AT4</x:v>
      </x:c>
      <x:c r="C9" s="23" t="str">
        <x:v>มี</x:v>
      </x:c>
      <x:c r="D9" s="23" t="str">
        <x:v>มี</x:v>
      </x:c>
      <x:c r="E9" s="23" t="str">
        <x:v>มี</x:v>
      </x:c>
      <x:c r="F9" s="23" t="str">
        <x:v>มี</x:v>
      </x:c>
      <x:c r="G9" s="24" t="n">
        <x:v>0</x:v>
      </x:c>
      <x:c r="H9" s="24" t="n">
        <x:v>13</x:v>
      </x:c>
      <x:c r="I9" s="24" t="n">
        <x:v>13</x:v>
      </x:c>
      <x:c r="J9" s="23" t="str">
        <x:v>ครบ</x:v>
      </x:c>
      <x:c r="K9" s="20" t="str"/>
      <x:c r="L9" s="20" t="str"/>
      <x:c r="M9" s="20" t="str">
        <x:v>ปิดงาน</x:v>
      </x:c>
    </x:row>
    <x:row r="10" ht="28" customHeight="1">
      <x:c r="A10" s="22" t="n">
        <x:v>46263</x:v>
      </x:c>
      <x:c r="B10" s="23" t="str">
        <x:v>AT4</x:v>
      </x:c>
      <x:c r="C10" s="23" t="str">
        <x:v>มี</x:v>
      </x:c>
      <x:c r="D10" s="23" t="str">
        <x:v>มี</x:v>
      </x:c>
      <x:c r="E10" s="23" t="str">
        <x:v>ขาด</x:v>
      </x:c>
      <x:c r="F10" s="23" t="str">
        <x:v>มี</x:v>
      </x:c>
      <x:c r="G10" s="24" t="n">
        <x:v>0</x:v>
      </x:c>
      <x:c r="H10" s="24" t="n">
        <x:v>10</x:v>
      </x:c>
      <x:c r="I10" s="24" t="n">
        <x:v>10</x:v>
      </x:c>
      <x:c r="J10" s="23" t="str">
        <x:v>รอไฟล์</x:v>
      </x:c>
      <x:c r="K10" s="20" t="str">
        <x:v>ขาด STM</x:v>
      </x:c>
      <x:c r="L10" s="20" t="str">
        <x:v>ตาม STM แล้วรันกระทบยอดใหม่</x:v>
      </x:c>
      <x:c r="M10" s="20" t="str">
        <x:v>ยังไม่เริ่ม</x:v>
      </x:c>
    </x:row>
    <x:row r="11" ht="28" customHeight="1">
      <x:c r="A11" s="22" t="n">
        <x:v>46261</x:v>
      </x:c>
      <x:c r="B11" s="23" t="str">
        <x:v>FR8</x:v>
      </x:c>
      <x:c r="C11" s="23" t="str">
        <x:v>มี</x:v>
      </x:c>
      <x:c r="D11" s="23" t="str">
        <x:v>มี</x:v>
      </x:c>
      <x:c r="E11" s="23" t="str">
        <x:v>มี</x:v>
      </x:c>
      <x:c r="F11" s="23" t="str">
        <x:v>มี</x:v>
      </x:c>
      <x:c r="G11" s="24" t="n">
        <x:v>0</x:v>
      </x:c>
      <x:c r="H11" s="24" t="n">
        <x:v>14</x:v>
      </x:c>
      <x:c r="I11" s="24" t="n">
        <x:v>14</x:v>
      </x:c>
      <x:c r="J11" s="23" t="str">
        <x:v>ต้องแก้ไฟล์</x:v>
      </x:c>
      <x:c r="K11" s="20" t="str">
        <x:v>ไฟล์ฝากมือ Payment เปิดไม่ได้</x:v>
      </x:c>
      <x:c r="L11" s="20" t="str">
        <x:v>แทนที่ไฟล์ Excel แล้วอ่านใหม่</x:v>
      </x:c>
      <x:c r="M11" s="20" t="str">
        <x:v>ยังไม่เริ่ม</x:v>
      </x:c>
    </x:row>
    <x:row r="12" ht="28" customHeight="1">
      <x:c r="A12" s="22" t="n">
        <x:v>46262</x:v>
      </x:c>
      <x:c r="B12" s="23" t="str">
        <x:v>FR8</x:v>
      </x:c>
      <x:c r="C12" s="23" t="str">
        <x:v>มี</x:v>
      </x:c>
      <x:c r="D12" s="23" t="str">
        <x:v>มี</x:v>
      </x:c>
      <x:c r="E12" s="23" t="str">
        <x:v>มี</x:v>
      </x:c>
      <x:c r="F12" s="23" t="str">
        <x:v>มี</x:v>
      </x:c>
      <x:c r="G12" s="24" t="n">
        <x:v>0</x:v>
      </x:c>
      <x:c r="H12" s="24" t="n">
        <x:v>16</x:v>
      </x:c>
      <x:c r="I12" s="24" t="n">
        <x:v>16</x:v>
      </x:c>
      <x:c r="J12" s="23" t="str">
        <x:v>ครบ</x:v>
      </x:c>
      <x:c r="K12" s="20" t="str"/>
      <x:c r="L12" s="20" t="str"/>
      <x:c r="M12" s="20" t="str">
        <x:v>ปิดงาน</x:v>
      </x:c>
    </x:row>
    <x:row r="13" ht="28" customHeight="1">
      <x:c r="A13" s="22" t="n">
        <x:v>46263</x:v>
      </x:c>
      <x:c r="B13" s="23" t="str">
        <x:v>FR8</x:v>
      </x:c>
      <x:c r="C13" s="23" t="str">
        <x:v>มี</x:v>
      </x:c>
      <x:c r="D13" s="23" t="str">
        <x:v>มี</x:v>
      </x:c>
      <x:c r="E13" s="23" t="str">
        <x:v>มี</x:v>
      </x:c>
      <x:c r="F13" s="23" t="str">
        <x:v>มี</x:v>
      </x:c>
      <x:c r="G13" s="24" t="n">
        <x:v>5</x:v>
      </x:c>
      <x:c r="H13" s="24" t="n">
        <x:v>20</x:v>
      </x:c>
      <x:c r="I13" s="24" t="n">
        <x:v>15</x:v>
      </x:c>
      <x:c r="J13" s="23" t="str">
        <x:v>ครบ</x:v>
      </x:c>
      <x:c r="K13" s="20" t="str"/>
      <x:c r="L13" s="20" t="str">
        <x:v>หลักฐาน 5 ไฟล์เก็บประกอบเคส</x:v>
      </x:c>
      <x:c r="M13" s="20" t="str">
        <x:v>ปิดงาน</x:v>
      </x:c>
    </x:row>
    <x:row r="14" ht="28" customHeight="1">
      <x:c r="A14" s="22" t="n">
        <x:v>46261</x:v>
      </x:c>
      <x:c r="B14" s="23" t="str">
        <x:v>MC8</x:v>
      </x:c>
      <x:c r="C14" s="23" t="str">
        <x:v>มี</x:v>
      </x:c>
      <x:c r="D14" s="23" t="str">
        <x:v>มี</x:v>
      </x:c>
      <x:c r="E14" s="23" t="str">
        <x:v>มี</x:v>
      </x:c>
      <x:c r="F14" s="23" t="str">
        <x:v>-</x:v>
      </x:c>
      <x:c r="G14" s="24" t="n">
        <x:v>0</x:v>
      </x:c>
      <x:c r="H14" s="24" t="n">
        <x:v>8</x:v>
      </x:c>
      <x:c r="I14" s="24" t="n">
        <x:v>8</x:v>
      </x:c>
      <x:c r="J14" s="23" t="str">
        <x:v>ครบ</x:v>
      </x:c>
      <x:c r="K14" s="20" t="str"/>
      <x:c r="L14" s="20" t="str"/>
      <x:c r="M14" s="20" t="str">
        <x:v>ปิดงาน</x:v>
      </x:c>
    </x:row>
    <x:row r="15" ht="28" customHeight="1">
      <x:c r="A15" s="22" t="n">
        <x:v>46262</x:v>
      </x:c>
      <x:c r="B15" s="23" t="str">
        <x:v>MC8</x:v>
      </x:c>
      <x:c r="C15" s="23" t="str">
        <x:v>มี</x:v>
      </x:c>
      <x:c r="D15" s="23" t="str">
        <x:v>มี</x:v>
      </x:c>
      <x:c r="E15" s="23" t="str">
        <x:v>มี</x:v>
      </x:c>
      <x:c r="F15" s="23" t="str">
        <x:v>-</x:v>
      </x:c>
      <x:c r="G15" s="24" t="n">
        <x:v>0</x:v>
      </x:c>
      <x:c r="H15" s="24" t="n">
        <x:v>10</x:v>
      </x:c>
      <x:c r="I15" s="24" t="n">
        <x:v>10</x:v>
      </x:c>
      <x:c r="J15" s="23" t="str">
        <x:v>ครบ</x:v>
      </x:c>
      <x:c r="K15" s="20" t="str"/>
      <x:c r="L15" s="20" t="str"/>
      <x:c r="M15" s="20" t="str">
        <x:v>ปิดงาน</x:v>
      </x:c>
    </x:row>
    <x:row r="16" ht="28" customHeight="1">
      <x:c r="A16" s="22" t="n">
        <x:v>46263</x:v>
      </x:c>
      <x:c r="B16" s="23" t="str">
        <x:v>MC8</x:v>
      </x:c>
      <x:c r="C16" s="23" t="str">
        <x:v>มี</x:v>
      </x:c>
      <x:c r="D16" s="23" t="str">
        <x:v>มี</x:v>
      </x:c>
      <x:c r="E16" s="23" t="str">
        <x:v>มี</x:v>
      </x:c>
      <x:c r="F16" s="23" t="str">
        <x:v>-</x:v>
      </x:c>
      <x:c r="G16" s="24" t="n">
        <x:v>1</x:v>
      </x:c>
      <x:c r="H16" s="24" t="n">
        <x:v>11</x:v>
      </x:c>
      <x:c r="I16" s="24" t="n">
        <x:v>10</x:v>
      </x:c>
      <x:c r="J16" s="23" t="str">
        <x:v>ครบ</x:v>
      </x:c>
      <x:c r="K16" s="20" t="str"/>
      <x:c r="L16" s="20" t="str">
        <x:v>หลักฐาน 1 ไฟล์เก็บประกอบเคส</x:v>
      </x:c>
      <x:c r="M16" s="20" t="str">
        <x:v>ปิดงาน</x:v>
      </x:c>
    </x:row>
    <x:row r="17" ht="28" customHeight="1">
      <x:c r="A17" s="22" t="n">
        <x:v>46261</x:v>
      </x:c>
      <x:c r="B17" s="23" t="str">
        <x:v>MR9</x:v>
      </x:c>
      <x:c r="C17" s="23" t="str">
        <x:v>มี</x:v>
      </x:c>
      <x:c r="D17" s="23" t="str">
        <x:v>มี</x:v>
      </x:c>
      <x:c r="E17" s="23" t="str">
        <x:v>มี</x:v>
      </x:c>
      <x:c r="F17" s="23" t="str">
        <x:v>-</x:v>
      </x:c>
      <x:c r="G17" s="24" t="n">
        <x:v>0</x:v>
      </x:c>
      <x:c r="H17" s="24" t="n">
        <x:v>11</x:v>
      </x:c>
      <x:c r="I17" s="24" t="n">
        <x:v>11</x:v>
      </x:c>
      <x:c r="J17" s="23" t="str">
        <x:v>ครบ</x:v>
      </x:c>
      <x:c r="K17" s="20" t="str"/>
      <x:c r="L17" s="20" t="str"/>
      <x:c r="M17" s="20" t="str">
        <x:v>ปิดงาน</x:v>
      </x:c>
    </x:row>
    <x:row r="18" ht="28" customHeight="1">
      <x:c r="A18" s="22" t="n">
        <x:v>46262</x:v>
      </x:c>
      <x:c r="B18" s="23" t="str">
        <x:v>MR9</x:v>
      </x:c>
      <x:c r="C18" s="23" t="str">
        <x:v>มี</x:v>
      </x:c>
      <x:c r="D18" s="23" t="str">
        <x:v>มี</x:v>
      </x:c>
      <x:c r="E18" s="23" t="str">
        <x:v>มี</x:v>
      </x:c>
      <x:c r="F18" s="23" t="str">
        <x:v>-</x:v>
      </x:c>
      <x:c r="G18" s="24" t="n">
        <x:v>0</x:v>
      </x:c>
      <x:c r="H18" s="24" t="n">
        <x:v>10</x:v>
      </x:c>
      <x:c r="I18" s="24" t="n">
        <x:v>10</x:v>
      </x:c>
      <x:c r="J18" s="23" t="str">
        <x:v>ครบ</x:v>
      </x:c>
      <x:c r="K18" s="20" t="str"/>
      <x:c r="L18" s="20" t="str"/>
      <x:c r="M18" s="20" t="str">
        <x:v>ปิดงาน</x:v>
      </x:c>
    </x:row>
    <x:row r="19" ht="28" customHeight="1">
      <x:c r="A19" s="22" t="n">
        <x:v>46263</x:v>
      </x:c>
      <x:c r="B19" s="23" t="str">
        <x:v>MR9</x:v>
      </x:c>
      <x:c r="C19" s="23" t="str">
        <x:v>มี</x:v>
      </x:c>
      <x:c r="D19" s="23" t="str">
        <x:v>มี</x:v>
      </x:c>
      <x:c r="E19" s="23" t="str">
        <x:v>มี</x:v>
      </x:c>
      <x:c r="F19" s="23" t="str">
        <x:v>-</x:v>
      </x:c>
      <x:c r="G19" s="24" t="n">
        <x:v>6</x:v>
      </x:c>
      <x:c r="H19" s="24" t="n">
        <x:v>16</x:v>
      </x:c>
      <x:c r="I19" s="24" t="n">
        <x:v>10</x:v>
      </x:c>
      <x:c r="J19" s="23" t="str">
        <x:v>ครบ</x:v>
      </x:c>
      <x:c r="K19" s="20" t="str"/>
      <x:c r="L19" s="20" t="str">
        <x:v>หลักฐาน 6 ไฟล์เก็บประกอบเคส</x:v>
      </x:c>
      <x:c r="M19" s="20" t="str">
        <x:v>ปิดงาน</x:v>
      </x:c>
    </x:row>
    <x:row r="20" ht="28" customHeight="1">
      <x:c r="A20" s="22" t="n">
        <x:v>46261</x:v>
      </x:c>
      <x:c r="B20" s="23" t="str">
        <x:v>PS8</x:v>
      </x:c>
      <x:c r="C20" s="23" t="str">
        <x:v>มี</x:v>
      </x:c>
      <x:c r="D20" s="23" t="str">
        <x:v>มี</x:v>
      </x:c>
      <x:c r="E20" s="23" t="str">
        <x:v>มี</x:v>
      </x:c>
      <x:c r="F20" s="23" t="str">
        <x:v>-</x:v>
      </x:c>
      <x:c r="G20" s="24" t="n">
        <x:v>0</x:v>
      </x:c>
      <x:c r="H20" s="24" t="n">
        <x:v>11</x:v>
      </x:c>
      <x:c r="I20" s="24" t="n">
        <x:v>11</x:v>
      </x:c>
      <x:c r="J20" s="23" t="str">
        <x:v>ครบ</x:v>
      </x:c>
      <x:c r="K20" s="20" t="str"/>
      <x:c r="L20" s="20" t="str"/>
      <x:c r="M20" s="20" t="str">
        <x:v>ปิดงาน</x:v>
      </x:c>
    </x:row>
    <x:row r="21" ht="28" customHeight="1">
      <x:c r="A21" s="22" t="n">
        <x:v>46262</x:v>
      </x:c>
      <x:c r="B21" s="23" t="str">
        <x:v>PS8</x:v>
      </x:c>
      <x:c r="C21" s="23" t="str">
        <x:v>มี</x:v>
      </x:c>
      <x:c r="D21" s="23" t="str">
        <x:v>มี</x:v>
      </x:c>
      <x:c r="E21" s="23" t="str">
        <x:v>มี</x:v>
      </x:c>
      <x:c r="F21" s="23" t="str">
        <x:v>-</x:v>
      </x:c>
      <x:c r="G21" s="24" t="n">
        <x:v>0</x:v>
      </x:c>
      <x:c r="H21" s="24" t="n">
        <x:v>11</x:v>
      </x:c>
      <x:c r="I21" s="24" t="n">
        <x:v>11</x:v>
      </x:c>
      <x:c r="J21" s="23" t="str">
        <x:v>ครบ</x:v>
      </x:c>
      <x:c r="K21" s="20" t="str"/>
      <x:c r="L21" s="20" t="str"/>
      <x:c r="M21" s="20" t="str">
        <x:v>ปิดงาน</x:v>
      </x:c>
    </x:row>
    <x:row r="22" ht="28" customHeight="1">
      <x:c r="A22" s="22" t="n">
        <x:v>46263</x:v>
      </x:c>
      <x:c r="B22" s="23" t="str">
        <x:v>PS8</x:v>
      </x:c>
      <x:c r="C22" s="23" t="str">
        <x:v>มี</x:v>
      </x:c>
      <x:c r="D22" s="23" t="str">
        <x:v>มี</x:v>
      </x:c>
      <x:c r="E22" s="23" t="str">
        <x:v>มี</x:v>
      </x:c>
      <x:c r="F22" s="23" t="str">
        <x:v>-</x:v>
      </x:c>
      <x:c r="G22" s="24" t="n">
        <x:v>0</x:v>
      </x:c>
      <x:c r="H22" s="24" t="n">
        <x:v>11</x:v>
      </x:c>
      <x:c r="I22" s="24" t="n">
        <x:v>11</x:v>
      </x:c>
      <x:c r="J22" s="23" t="str">
        <x:v>ครบ</x:v>
      </x:c>
      <x:c r="K22" s="20" t="str"/>
      <x:c r="L22" s="20" t="str"/>
      <x:c r="M22" s="20" t="str">
        <x:v>ปิดงาน</x:v>
      </x:c>
    </x:row>
    <x:row r="23" ht="28" customHeight="1">
      <x:c r="A23" s="22" t="n">
        <x:v>46261</x:v>
      </x:c>
      <x:c r="B23" s="23" t="str">
        <x:v>SK8</x:v>
      </x:c>
      <x:c r="C23" s="23" t="str">
        <x:v>มี</x:v>
      </x:c>
      <x:c r="D23" s="23" t="str">
        <x:v>มี</x:v>
      </x:c>
      <x:c r="E23" s="23" t="str">
        <x:v>มี</x:v>
      </x:c>
      <x:c r="F23" s="23" t="str">
        <x:v>มี</x:v>
      </x:c>
      <x:c r="G23" s="24" t="n">
        <x:v>0</x:v>
      </x:c>
      <x:c r="H23" s="24" t="n">
        <x:v>18</x:v>
      </x:c>
      <x:c r="I23" s="24" t="n">
        <x:v>18</x:v>
      </x:c>
      <x:c r="J23" s="23" t="str">
        <x:v>ครบ</x:v>
      </x:c>
      <x:c r="K23" s="20" t="str"/>
      <x:c r="L23" s="20" t="str"/>
      <x:c r="M23" s="20" t="str">
        <x:v>ปิดงาน</x:v>
      </x:c>
    </x:row>
    <x:row r="24" ht="28" customHeight="1">
      <x:c r="A24" s="22" t="n">
        <x:v>46262</x:v>
      </x:c>
      <x:c r="B24" s="23" t="str">
        <x:v>SK8</x:v>
      </x:c>
      <x:c r="C24" s="23" t="str">
        <x:v>มี</x:v>
      </x:c>
      <x:c r="D24" s="23" t="str">
        <x:v>มี</x:v>
      </x:c>
      <x:c r="E24" s="23" t="str">
        <x:v>มี</x:v>
      </x:c>
      <x:c r="F24" s="23" t="str">
        <x:v>มี</x:v>
      </x:c>
      <x:c r="G24" s="24" t="n">
        <x:v>0</x:v>
      </x:c>
      <x:c r="H24" s="24" t="n">
        <x:v>12</x:v>
      </x:c>
      <x:c r="I24" s="24" t="n">
        <x:v>12</x:v>
      </x:c>
      <x:c r="J24" s="23" t="str">
        <x:v>ครบ</x:v>
      </x:c>
      <x:c r="K24" s="20" t="str"/>
      <x:c r="L24" s="20" t="str"/>
      <x:c r="M24" s="20" t="str">
        <x:v>ปิดงาน</x:v>
      </x:c>
    </x:row>
    <x:row r="25" ht="28" customHeight="1">
      <x:c r="A25" s="22" t="n">
        <x:v>46263</x:v>
      </x:c>
      <x:c r="B25" s="23" t="str">
        <x:v>SK8</x:v>
      </x:c>
      <x:c r="C25" s="23" t="str">
        <x:v>มี</x:v>
      </x:c>
      <x:c r="D25" s="23" t="str">
        <x:v>มี</x:v>
      </x:c>
      <x:c r="E25" s="23" t="str">
        <x:v>ขาด</x:v>
      </x:c>
      <x:c r="F25" s="23" t="str">
        <x:v>มี</x:v>
      </x:c>
      <x:c r="G25" s="24" t="n">
        <x:v>1</x:v>
      </x:c>
      <x:c r="H25" s="24" t="n">
        <x:v>11</x:v>
      </x:c>
      <x:c r="I25" s="24" t="n">
        <x:v>10</x:v>
      </x:c>
      <x:c r="J25" s="23" t="str">
        <x:v>รอไฟล์</x:v>
      </x:c>
      <x:c r="K25" s="20" t="str">
        <x:v>ขาด STM</x:v>
      </x:c>
      <x:c r="L25" s="20" t="str">
        <x:v>ตาม STM แล้วรันกระทบยอดใหม่</x:v>
      </x:c>
      <x:c r="M25" s="20" t="str">
        <x:v>ยังไม่เริ่ม</x:v>
      </x:c>
    </x:row>
    <x:row r="26" ht="28" customHeight="1">
      <x:c r="A26" s="22" t="n">
        <x:v>46261</x:v>
      </x:c>
      <x:c r="B26" s="23" t="str">
        <x:v>UFABET7M</x:v>
      </x:c>
      <x:c r="C26" s="23" t="str">
        <x:v>มี</x:v>
      </x:c>
      <x:c r="D26" s="23" t="str">
        <x:v>มี</x:v>
      </x:c>
      <x:c r="E26" s="23" t="str">
        <x:v>มี</x:v>
      </x:c>
      <x:c r="F26" s="23" t="str">
        <x:v>-</x:v>
      </x:c>
      <x:c r="G26" s="24" t="n">
        <x:v>0</x:v>
      </x:c>
      <x:c r="H26" s="24" t="n">
        <x:v>7</x:v>
      </x:c>
      <x:c r="I26" s="24" t="n">
        <x:v>7</x:v>
      </x:c>
      <x:c r="J26" s="23" t="str">
        <x:v>ครบ</x:v>
      </x:c>
      <x:c r="K26" s="20" t="str"/>
      <x:c r="L26" s="20" t="str"/>
      <x:c r="M26" s="20" t="str">
        <x:v>ปิดงาน</x:v>
      </x:c>
    </x:row>
    <x:row r="27" ht="28" customHeight="1">
      <x:c r="A27" s="22" t="n">
        <x:v>46262</x:v>
      </x:c>
      <x:c r="B27" s="23" t="str">
        <x:v>UFABET7M</x:v>
      </x:c>
      <x:c r="C27" s="23" t="str">
        <x:v>มี</x:v>
      </x:c>
      <x:c r="D27" s="23" t="str">
        <x:v>มี</x:v>
      </x:c>
      <x:c r="E27" s="23" t="str">
        <x:v>มี</x:v>
      </x:c>
      <x:c r="F27" s="23" t="str">
        <x:v>-</x:v>
      </x:c>
      <x:c r="G27" s="24" t="n">
        <x:v>0</x:v>
      </x:c>
      <x:c r="H27" s="24" t="n">
        <x:v>7</x:v>
      </x:c>
      <x:c r="I27" s="24" t="n">
        <x:v>7</x:v>
      </x:c>
      <x:c r="J27" s="23" t="str">
        <x:v>ครบ</x:v>
      </x:c>
      <x:c r="K27" s="20" t="str"/>
      <x:c r="L27" s="20" t="str"/>
      <x:c r="M27" s="20" t="str">
        <x:v>ปิดงาน</x:v>
      </x:c>
    </x:row>
    <x:row r="28" ht="28" customHeight="1">
      <x:c r="A28" s="22" t="n">
        <x:v>46263</x:v>
      </x:c>
      <x:c r="B28" s="23" t="str">
        <x:v>UFABET7M</x:v>
      </x:c>
      <x:c r="C28" s="23" t="str">
        <x:v>มี</x:v>
      </x:c>
      <x:c r="D28" s="23" t="str">
        <x:v>มี</x:v>
      </x:c>
      <x:c r="E28" s="23" t="str">
        <x:v>มี</x:v>
      </x:c>
      <x:c r="F28" s="23" t="str">
        <x:v>-</x:v>
      </x:c>
      <x:c r="G28" s="24" t="n">
        <x:v>3</x:v>
      </x:c>
      <x:c r="H28" s="24" t="n">
        <x:v>10</x:v>
      </x:c>
      <x:c r="I28" s="24" t="n">
        <x:v>7</x:v>
      </x:c>
      <x:c r="J28" s="23" t="str">
        <x:v>ครบ</x:v>
      </x:c>
      <x:c r="K28" s="20" t="str"/>
      <x:c r="L28" s="20" t="str">
        <x:v>หลักฐาน 3 ไฟล์เก็บประกอบเคส</x:v>
      </x:c>
      <x:c r="M28" s="20" t="str">
        <x:v>ปิดงาน</x:v>
      </x:c>
    </x:row>
    <x:row r="29" ht="28" customHeight="1">
      <x:c r="A29" s="22" t="n">
        <x:v>46261</x:v>
      </x:c>
      <x:c r="B29" s="23" t="str">
        <x:v>UR9</x:v>
      </x:c>
      <x:c r="C29" s="23" t="str">
        <x:v>มี</x:v>
      </x:c>
      <x:c r="D29" s="23" t="str">
        <x:v>มี</x:v>
      </x:c>
      <x:c r="E29" s="23" t="str">
        <x:v>มี</x:v>
      </x:c>
      <x:c r="F29" s="23" t="str">
        <x:v>-</x:v>
      </x:c>
      <x:c r="G29" s="24" t="n">
        <x:v>0</x:v>
      </x:c>
      <x:c r="H29" s="24" t="n">
        <x:v>11</x:v>
      </x:c>
      <x:c r="I29" s="24" t="n">
        <x:v>11</x:v>
      </x:c>
      <x:c r="J29" s="23" t="str">
        <x:v>ครบ</x:v>
      </x:c>
      <x:c r="K29" s="20" t="str"/>
      <x:c r="L29" s="20" t="str"/>
      <x:c r="M29" s="20" t="str">
        <x:v>ปิดงาน</x:v>
      </x:c>
    </x:row>
    <x:row r="30" ht="28" customHeight="1">
      <x:c r="A30" s="22" t="n">
        <x:v>46262</x:v>
      </x:c>
      <x:c r="B30" s="23" t="str">
        <x:v>UR9</x:v>
      </x:c>
      <x:c r="C30" s="23" t="str">
        <x:v>มี</x:v>
      </x:c>
      <x:c r="D30" s="23" t="str">
        <x:v>มี</x:v>
      </x:c>
      <x:c r="E30" s="23" t="str">
        <x:v>มี</x:v>
      </x:c>
      <x:c r="F30" s="23" t="str">
        <x:v>-</x:v>
      </x:c>
      <x:c r="G30" s="24" t="n">
        <x:v>0</x:v>
      </x:c>
      <x:c r="H30" s="24" t="n">
        <x:v>11</x:v>
      </x:c>
      <x:c r="I30" s="24" t="n">
        <x:v>11</x:v>
      </x:c>
      <x:c r="J30" s="23" t="str">
        <x:v>ครบ</x:v>
      </x:c>
      <x:c r="K30" s="20" t="str"/>
      <x:c r="L30" s="20" t="str"/>
      <x:c r="M30" s="20" t="str">
        <x:v>ปิดงาน</x:v>
      </x:c>
    </x:row>
    <x:row r="31" ht="28" customHeight="1">
      <x:c r="A31" s="22" t="n">
        <x:v>46263</x:v>
      </x:c>
      <x:c r="B31" s="23" t="str">
        <x:v>UR9</x:v>
      </x:c>
      <x:c r="C31" s="23" t="str">
        <x:v>มี</x:v>
      </x:c>
      <x:c r="D31" s="23" t="str">
        <x:v>มี</x:v>
      </x:c>
      <x:c r="E31" s="23" t="str">
        <x:v>มี</x:v>
      </x:c>
      <x:c r="F31" s="23" t="str">
        <x:v>-</x:v>
      </x:c>
      <x:c r="G31" s="24" t="n">
        <x:v>0</x:v>
      </x:c>
      <x:c r="H31" s="24" t="n">
        <x:v>11</x:v>
      </x:c>
      <x:c r="I31" s="24" t="n">
        <x:v>11</x:v>
      </x:c>
      <x:c r="J31" s="23" t="str">
        <x:v>ครบ</x:v>
      </x:c>
      <x:c r="K31" s="20" t="str"/>
      <x:c r="L31" s="20" t="str"/>
      <x:c r="M31" s="20" t="str">
        <x:v>ปิดงาน</x:v>
      </x:c>
    </x:row>
  </x:sheetData>
  <x:mergeCells>
    <x:mergeCell ref="A1:M1"/>
    <x:mergeCell ref="A2:M2"/>
  </x:mergeCells>
  <x:conditionalFormatting sqref="C5:F31">
    <x:cfRule type="containsText" dxfId="0" priority="1" operator="containsText" text="ขาด"/>
  </x:conditionalFormatting>
  <x:conditionalFormatting sqref="J5:J31">
    <x:cfRule type="containsText" dxfId="1" priority="2" operator="containsText" text="ครบ"/>
    <x:cfRule type="containsText" dxfId="2" priority="3" operator="containsText" text="รอไฟล์"/>
    <x:cfRule type="containsText" dxfId="3" priority="4" operator="containsText" text="ต้องแก้ไฟล์"/>
  </x:conditionalFormatting>
  <x:conditionalFormatting sqref="M5:M31">
    <x:cfRule type="containsText" dxfId="4" priority="5" operator="containsText" text="ปิดงาน"/>
    <x:cfRule type="containsText" dxfId="5" priority="6" operator="containsText" text="ยังไม่เริ่ม"/>
  </x:conditionalFormatting>
  <x:dataValidations count="1">
    <x:dataValidation type="list" sqref="M5:M31">
      <x:formula1>"ยังไม่เริ่ม,กำลังติดตาม,ได้รับแล้ว,ปิดงาน"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1b7b4648954e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1" hidden="0" customWidth="1"/>
    <x:col min="5" max="5" width="29" hidden="0" customWidth="1"/>
    <x:col min="6" max="6" width="37" hidden="0" customWidth="1"/>
    <x:col min="7" max="7" width="20" hidden="0" customWidth="1"/>
    <x:col min="8" max="8" width="18" hidden="0" customWidth="1"/>
  </x:cols>
  <x:sheetData>
    <x:row r="1" ht="36" customHeight="1">
      <x:c r="A1" s="3" t="str">
        <x:v>รายการต้องติดตามกับทีม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อัปเดตคอลัมน์สถานะทีมและผู้รับผิดชอบได้โดยตรง</x:v>
      </x:c>
      <x:c r="B2" s="5"/>
      <x:c r="C2" s="5"/>
      <x:c r="D2" s="5"/>
      <x:c r="E2" s="5"/>
      <x:c r="F2" s="5"/>
      <x:c r="G2" s="5"/>
      <x:c r="H2" s="5"/>
    </x:row>
    <x:row r="4">
      <x:c r="A4" s="10" t="str">
        <x:v>ลำดับ</x:v>
      </x:c>
      <x:c r="B4" s="10" t="str">
        <x:v>วันที่</x:v>
      </x:c>
      <x:c r="C4" s="10" t="str">
        <x:v>บริษัท</x:v>
      </x:c>
      <x:c r="D4" s="10" t="str">
        <x:v>ประเภทไฟล์</x:v>
      </x:c>
      <x:c r="E4" s="10" t="str">
        <x:v>ปัญหา</x:v>
      </x:c>
      <x:c r="F4" s="10" t="str">
        <x:v>การดำเนินการ</x:v>
      </x:c>
      <x:c r="G4" s="10" t="str">
        <x:v>ผู้รับผิดชอบ</x:v>
      </x:c>
      <x:c r="H4" s="10" t="str">
        <x:v>สถานะทีม</x:v>
      </x:c>
    </x:row>
    <x:row r="5" ht="34" customHeight="1">
      <x:c r="A5" s="20" t="n">
        <x:v>1</x:v>
      </x:c>
      <x:c r="B5" s="19" t="n">
        <x:v>46263</x:v>
      </x:c>
      <x:c r="C5" s="20" t="str">
        <x:v>3XB</x:v>
      </x:c>
      <x:c r="D5" s="20" t="str">
        <x:v>STM</x:v>
      </x:c>
      <x:c r="E5" s="20" t="str">
        <x:v>ยังไม่ได้รับ STM</x:v>
      </x:c>
      <x:c r="F5" s="20" t="str">
        <x:v>ตามไฟล์และรันกระทบยอดใหม่</x:v>
      </x:c>
      <x:c r="G5" s="20" t="str"/>
      <x:c r="H5" s="20" t="str">
        <x:v>ยังไม่เริ่ม</x:v>
      </x:c>
    </x:row>
    <x:row r="6" ht="34" customHeight="1">
      <x:c r="A6" s="20" t="n">
        <x:v>2</x:v>
      </x:c>
      <x:c r="B6" s="19" t="n">
        <x:v>46263</x:v>
      </x:c>
      <x:c r="C6" s="20" t="str">
        <x:v>AT4</x:v>
      </x:c>
      <x:c r="D6" s="20" t="str">
        <x:v>STM</x:v>
      </x:c>
      <x:c r="E6" s="20" t="str">
        <x:v>ยังไม่ได้รับ STM</x:v>
      </x:c>
      <x:c r="F6" s="20" t="str">
        <x:v>ตามไฟล์และรันกระทบยอดใหม่</x:v>
      </x:c>
      <x:c r="G6" s="20" t="str"/>
      <x:c r="H6" s="20" t="str">
        <x:v>ยังไม่เริ่ม</x:v>
      </x:c>
    </x:row>
    <x:row r="7" ht="34" customHeight="1">
      <x:c r="A7" s="20" t="n">
        <x:v>3</x:v>
      </x:c>
      <x:c r="B7" s="19" t="n">
        <x:v>46263</x:v>
      </x:c>
      <x:c r="C7" s="20" t="str">
        <x:v>SK8</x:v>
      </x:c>
      <x:c r="D7" s="20" t="str">
        <x:v>STM</x:v>
      </x:c>
      <x:c r="E7" s="20" t="str">
        <x:v>ยังไม่ได้รับ STM</x:v>
      </x:c>
      <x:c r="F7" s="20" t="str">
        <x:v>ตามไฟล์และรันกระทบยอดใหม่</x:v>
      </x:c>
      <x:c r="G7" s="20" t="str"/>
      <x:c r="H7" s="20" t="str">
        <x:v>ยังไม่เริ่ม</x:v>
      </x:c>
    </x:row>
    <x:row r="8" ht="34" customHeight="1">
      <x:c r="A8" s="20" t="n">
        <x:v>4</x:v>
      </x:c>
      <x:c r="B8" s="19" t="n">
        <x:v>46261</x:v>
      </x:c>
      <x:c r="C8" s="20" t="str">
        <x:v>FR8</x:v>
      </x:c>
      <x:c r="D8" s="20" t="str">
        <x:v>ฝากมือ - Payment</x:v>
      </x:c>
      <x:c r="E8" s="20" t="str">
        <x:v>ไฟล์ Excel เปิดไม่ได้</x:v>
      </x:c>
      <x:c r="F8" s="20" t="str">
        <x:v>ขอไฟล์ใหม่ แทนที่ แล้วอ่านใหม่</x:v>
      </x:c>
      <x:c r="G8" s="20" t="str"/>
      <x:c r="H8" s="20" t="str">
        <x:v>ยังไม่เริ่ม</x:v>
      </x:c>
    </x:row>
    <x:row r="9" ht="34" customHeight="1">
      <x:c r="A9" s="20" t="n">
        <x:v>5</x:v>
      </x:c>
      <x:c r="B9" s="19" t="n">
        <x:v>46261</x:v>
      </x:c>
      <x:c r="C9" s="20" t="str">
        <x:v>ระบบ</x:v>
      </x:c>
      <x:c r="D9" s="20" t="str">
        <x:v>กฎบริษัท</x:v>
      </x:c>
      <x:c r="E9" s="20" t="str">
        <x:v>DW เคยถูกสร้างเป็นบริษัท</x:v>
      </x:c>
      <x:c r="F9" s="20" t="str">
        <x:v>ปิดรับ DW เป็นบริษัทและเก็บแถวเดิมเป็นประวัติ</x:v>
      </x:c>
      <x:c r="G9" s="20" t="str">
        <x:v>ระบบ</x:v>
      </x:c>
      <x:c r="H9" s="20" t="str">
        <x:v>แก้โค้ดแล้ว</x:v>
      </x:c>
    </x:row>
    <x:row r="12">
      <x:c r="A12" s="30" t="str">
        <x:v>งานทั้งหมด</x:v>
      </x:c>
      <x:c r="B12" s="30" t="str">
        <x:v>ปิด/แก้แล้ว</x:v>
      </x:c>
      <x:c r="C12" s="30" t="str">
        <x:v>กำลังติดตาม</x:v>
      </x:c>
      <x:c r="D12" s="30" t="str">
        <x:v>ยังไม่เริ่ม</x:v>
      </x:c>
    </x:row>
    <x:row r="13" ht="32" customHeight="1">
      <x:c r="A13" s="48" t="n">
        <x:f>COUNTA(A5:A9)</x:f>
        <x:v>5</x:v>
      </x:c>
      <x:c r="B13" s="48" t="n">
        <x:f>COUNTIF(H5:H9,"ปิดงาน")+COUNTIF(H5:H9,"แก้โค้ดแล้ว")</x:f>
        <x:v>1</x:v>
      </x:c>
      <x:c r="C13" s="48" t="n">
        <x:f>COUNTIF(H5:H9,"กำลังติดตาม")+COUNTIF(H5:H9,"ได้รับแล้ว")</x:f>
        <x:v>0</x:v>
      </x:c>
      <x:c r="D13" s="48" t="n">
        <x:f>COUNTIF(H5:H9,"ยังไม่เริ่ม")</x:f>
        <x:v>4</x:v>
      </x:c>
    </x:row>
  </x:sheetData>
  <x:mergeCells>
    <x:mergeCell ref="A1:H1"/>
    <x:mergeCell ref="A2:H2"/>
  </x:mergeCells>
  <x:conditionalFormatting sqref="H5:H9">
    <x:cfRule type="containsText" dxfId="8" priority="1" operator="containsText" text="ยังไม่เริ่ม"/>
    <x:cfRule type="containsText" dxfId="9" priority="2" operator="containsText" text="ปิดงาน"/>
    <x:cfRule type="containsText" dxfId="10" priority="3" operator="containsText" text="แก้โค้ดแล้ว"/>
  </x:conditionalFormatting>
  <x:dataValidations count="1">
    <x:dataValidation type="list" sqref="H5:H9">
      <x:formula1>"ยังไม่เริ่ม,กำลังติดตาม,ได้รับแล้ว,ปิดงาน,แก้โค้ดแล้ว"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45" hidden="0" customWidth="1"/>
    <x:col min="4" max="4" width="42" hidden="0" customWidth="1"/>
  </x:cols>
  <x:sheetData>
    <x:row r="1" ht="36" customHeight="1">
      <x:c r="A1" s="3" t="str">
        <x:v>นิยามประเภทไฟล์ที่ระบบใช้</x:v>
      </x:c>
      <x:c r="B1" s="3"/>
      <x:c r="C1" s="3"/>
      <x:c r="D1" s="3"/>
    </x:row>
    <x:row r="3">
      <x:c r="A3" s="10" t="str">
        <x:v>ประเภท</x:v>
      </x:c>
      <x:c r="B3" s="10" t="str">
        <x:v>ใช้เมื่อ</x:v>
      </x:c>
      <x:c r="C3" s="10" t="str">
        <x:v>ตัวอย่างชื่อไฟล์</x:v>
      </x:c>
      <x:c r="D3" s="10" t="str">
        <x:v>หมายเหตุ</x:v>
      </x:c>
    </x:row>
    <x:row r="4" ht="38" customHeight="1">
      <x:c r="A4" s="20" t="str">
        <x:v>STM ฝาก-ถอน</x:v>
      </x:c>
      <x:c r="B4" s="20" t="str">
        <x:v>Statement หรือรายการเดินบัญชีธนาคาร</x:v>
      </x:c>
      <x:c r="C4" s="20" t="str">
        <x:v>3XB_STM_KBANK_DW_2026-08-29.pdf</x:v>
      </x:c>
      <x:c r="D4" s="20" t="str">
        <x:v>D=ฝาก, W=ถอน, DW=รวมฝากและถอน</x:v>
      </x:c>
    </x:row>
    <x:row r="5" ht="38" customHeight="1">
      <x:c r="A5" s="20" t="str">
        <x:v>BO รายงานหลังบ้าน</x:v>
      </x:c>
      <x:c r="B5" s="20" t="str">
        <x:v>รายงานหน้า BO ของบริษัท</x:v>
      </x:c>
      <x:c r="C5" s="20" t="str">
        <x:v>UR9_BO_2026-08-29.xlsx</x:v>
      </x:c>
      <x:c r="D5" s="20" t="str">
        <x:v>ใช้เป็นข้อมูลฝั่งระบบ</x:v>
      </x:c>
    </x:row>
    <x:row r="6" ht="38" customHeight="1">
      <x:c r="A6" s="20" t="str">
        <x:v>PM ฝาก/ถอน</x:v>
      </x:c>
      <x:c r="B6" s="20" t="str">
        <x:v>AUTOPEER, AZPAY, CYBERPLUS, MYPAY, 12PAY</x:v>
      </x:c>
      <x:c r="C6" s="20" t="str">
        <x:v>MC8_PM_COREPAY_D_2026-08-29.csv</x:v>
      </x:c>
      <x:c r="D6" s="20" t="str">
        <x:v>แยก D/W ตามทิศทาง</x:v>
      </x:c>
    </x:row>
    <x:row r="7" ht="38" customHeight="1">
      <x:c r="A7" s="20" t="str">
        <x:v>ฝากมือ - เครดิต</x:v>
      </x:c>
      <x:c r="B7" s="20" t="str">
        <x:v>รายการเติมเครดิตด้วยมือ</x:v>
      </x:c>
      <x:c r="C7" s="20" t="str">
        <x:v>FR8_MANUAL_CREDIT_2026-08-29.xlsx</x:v>
      </x:c>
      <x:c r="D7" s="20" t="str"/>
    </x:row>
    <x:row r="8" ht="38" customHeight="1">
      <x:c r="A8" s="20" t="str">
        <x:v>ฝากมือ - Payment</x:v>
      </x:c>
      <x:c r="B8" s="20" t="str">
        <x:v>รายการฝากมือฝั่ง Payment</x:v>
      </x:c>
      <x:c r="C8" s="20" t="str">
        <x:v>FR8_MANUAL_PAYMENT_2026-08-29.xlsx</x:v>
      </x:c>
      <x:c r="D8" s="20" t="str"/>
    </x:row>
    <x:row r="9" ht="38" customHeight="1">
      <x:c r="A9" s="20" t="str">
        <x:v>ฝากมือ - โบนัส</x:v>
      </x:c>
      <x:c r="B9" s="20" t="str">
        <x:v>รายการโบนัส</x:v>
      </x:c>
      <x:c r="C9" s="20" t="str">
        <x:v>SK8_MANUAL_BONUS_2026-08-29.xlsx</x:v>
      </x:c>
      <x:c r="D9" s="20" t="str"/>
    </x:row>
    <x:row r="10" ht="38" customHeight="1">
      <x:c r="A10" s="20" t="str">
        <x:v>ถอนค่าคอมมิชชั่น</x:v>
      </x:c>
      <x:c r="B10" s="20" t="str">
        <x:v>รายการถอนคอมมิชชั่น</x:v>
      </x:c>
      <x:c r="C10" s="20" t="str">
        <x:v>AT4_COMMISSION_WITHDRAW_2026-08-29.xlsx</x:v>
      </x:c>
      <x:c r="D10" s="20" t="str"/>
    </x:row>
    <x:row r="11" ht="38" customHeight="1">
      <x:c r="A11" s="20" t="str">
        <x:v>ถอนเครดิต</x:v>
      </x:c>
      <x:c r="B11" s="20" t="str">
        <x:v>รายงานถอนเครดิต</x:v>
      </x:c>
      <x:c r="C11" s="20" t="str">
        <x:v>SK8_CREDIT_WITHDRAW_2026-08-29.xlsx</x:v>
      </x:c>
      <x:c r="D11" s="20" t="str"/>
    </x:row>
    <x:row r="12" ht="38" customHeight="1">
      <x:c r="A12" s="20" t="str">
        <x:v>ไฟล์ชี้แจง/หลักฐาน</x:v>
      </x:c>
      <x:c r="B12" s="20" t="str">
        <x:v>เอกสารตอบข้อสงสัยหรือหลักฐานเพิ่มเติม</x:v>
      </x:c>
      <x:c r="C12" s="20" t="str">
        <x:v>MR9_EVIDENCE_2026-08-29.pdf</x:v>
      </x:c>
      <x:c r="D12" s="20" t="str">
        <x:v>ไม่นับเป็นไฟล์กระทบยอดหลัก</x:v>
      </x:c>
    </x:row>
    <x:row r="13" ht="38" customHeight="1">
      <x:c r="A13" s="20" t="str">
        <x:v>ยังไม่ทราบประเภท</x:v>
      </x:c>
      <x:c r="B13" s="20" t="str">
        <x:v>ยังไม่สามารถยืนยันได้</x:v>
      </x:c>
      <x:c r="C13" s="20" t="str">
        <x:v>-</x:v>
      </x:c>
      <x:c r="D13" s="20" t="str">
        <x:v>ต้อง Preview และเลือกประเภทก่อนรับต่อ</x:v>
      </x:c>
    </x:row>
    <x:row r="16">
      <x:c r="A16" s="61" t="str">
        <x:v>สำคัญ: DW ที่อยู่ในชื่อไฟล์คือ Deposit + Withdraw ไม่ใช่ชื่อบริษัท ระบบต้องใช้เป็นทิศทางของไฟล์เท่านั้น และไม่สร้างงานรอไฟล์ในชื่อบริษัท DW</x:v>
      </x:c>
      <x:c r="B16" s="62"/>
      <x:c r="C16" s="62"/>
      <x:c r="D16" s="63"/>
    </x:row>
    <x:row r="17">
      <x:c r="A17" s="64"/>
      <x:c r="B17" s="65"/>
      <x:c r="C17" s="65"/>
      <x:c r="D17" s="66"/>
    </x:row>
  </x:sheetData>
  <x:mergeCells>
    <x:mergeCell ref="A1:D1"/>
    <x:mergeCell ref="A16:D17"/>
  </x:mergeCells>
  <x:pageMargins left="0.7" right="0.7" top="0.75" bottom="0.75" header="0.3" footer="0.3"/>
</x:worksheet>
</file>